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Desktop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Miss Fortune" sheetId="2" r:id="rId4"/>
    <sheet name="Jinx" sheetId="3" r:id="rId5"/>
    <sheet name="Sivir" sheetId="9" r:id="rId6"/>
    <sheet name="Caitlyn" sheetId="11" r:id="rId7"/>
    <sheet name="Tristana" sheetId="12" r:id="rId8"/>
    <sheet name="Ashe" sheetId="14" r:id="rId9"/>
    <sheet name="Draven" sheetId="7" r:id="rId10"/>
    <sheet name="Ezreal" sheetId="4" r:id="rId11"/>
    <sheet name="Jhin" sheetId="10" r:id="rId12"/>
    <sheet name="Kai'Sa" sheetId="5" r:id="rId13"/>
    <sheet name="Kalista" sheetId="18" r:id="rId14"/>
    <sheet name="Kog'Maw" sheetId="17" r:id="rId15"/>
    <sheet name="Lucian" sheetId="6" r:id="rId16"/>
    <sheet name="Twitch" sheetId="8" r:id="rId17"/>
    <sheet name="Varus" sheetId="15" r:id="rId18"/>
    <sheet name="Vayne" sheetId="16" r:id="rId19"/>
    <sheet name="Xayah" sheetId="13" r:id="rId20"/>
  </sheets>
  <calcPr calcId="152511"/>
</workbook>
</file>

<file path=xl/calcChain.xml><?xml version="1.0" encoding="utf-8"?>
<calcChain xmlns="http://schemas.openxmlformats.org/spreadsheetml/2006/main">
  <c r="N109" i="13" l="1"/>
  <c r="I109" i="13"/>
  <c r="J109" i="13" s="1"/>
  <c r="H109" i="13"/>
  <c r="M109" i="13" s="1"/>
  <c r="N109" i="16"/>
  <c r="I109" i="16"/>
  <c r="J109" i="16" s="1"/>
  <c r="H109" i="16"/>
  <c r="K109" i="16" s="1"/>
  <c r="N109" i="15"/>
  <c r="I109" i="15"/>
  <c r="J109" i="15" s="1"/>
  <c r="H109" i="15"/>
  <c r="M109" i="15" s="1"/>
  <c r="N109" i="9"/>
  <c r="I109" i="9"/>
  <c r="L109" i="9" s="1"/>
  <c r="H109" i="9"/>
  <c r="M109" i="9" s="1"/>
  <c r="N109" i="18"/>
  <c r="I109" i="18"/>
  <c r="J109" i="18" s="1"/>
  <c r="H109" i="18"/>
  <c r="M109" i="18" s="1"/>
  <c r="N109" i="17"/>
  <c r="I109" i="17"/>
  <c r="L109" i="17" s="1"/>
  <c r="H109" i="17"/>
  <c r="K109" i="17" s="1"/>
  <c r="N109" i="4"/>
  <c r="I109" i="4"/>
  <c r="J109" i="4" s="1"/>
  <c r="H109" i="4"/>
  <c r="M109" i="4" s="1"/>
  <c r="N109" i="7"/>
  <c r="I109" i="7"/>
  <c r="J109" i="7" s="1"/>
  <c r="H109" i="7"/>
  <c r="K109" i="7" s="1"/>
  <c r="N109" i="12"/>
  <c r="I109" i="12"/>
  <c r="J109" i="12" s="1"/>
  <c r="H109" i="12"/>
  <c r="K109" i="12" s="1"/>
  <c r="N109" i="2"/>
  <c r="I109" i="2"/>
  <c r="J109" i="2" s="1"/>
  <c r="H109" i="2"/>
  <c r="M109" i="2" s="1"/>
  <c r="N109" i="3"/>
  <c r="I109" i="3"/>
  <c r="J109" i="3" s="1"/>
  <c r="H109" i="3"/>
  <c r="M109" i="3" s="1"/>
  <c r="N109" i="14"/>
  <c r="I109" i="14"/>
  <c r="L109" i="14" s="1"/>
  <c r="H109" i="14"/>
  <c r="M109" i="14" s="1"/>
  <c r="N109" i="8"/>
  <c r="I109" i="8"/>
  <c r="L109" i="8" s="1"/>
  <c r="H109" i="8"/>
  <c r="M109" i="8" s="1"/>
  <c r="N109" i="11"/>
  <c r="I109" i="11"/>
  <c r="J109" i="11" s="1"/>
  <c r="H109" i="11"/>
  <c r="M109" i="11" s="1"/>
  <c r="N109" i="10"/>
  <c r="I109" i="10"/>
  <c r="L109" i="10" s="1"/>
  <c r="H109" i="10"/>
  <c r="M109" i="10" s="1"/>
  <c r="N109" i="5"/>
  <c r="I109" i="5"/>
  <c r="J109" i="5" s="1"/>
  <c r="H109" i="5"/>
  <c r="K109" i="5" s="1"/>
  <c r="N109" i="6"/>
  <c r="I109" i="6"/>
  <c r="J109" i="6" s="1"/>
  <c r="H109" i="6"/>
  <c r="K109" i="6" s="1"/>
  <c r="M109" i="6" l="1"/>
  <c r="K109" i="11"/>
  <c r="K109" i="8"/>
  <c r="K109" i="14"/>
  <c r="K109" i="3"/>
  <c r="K109" i="2"/>
  <c r="K109" i="18"/>
  <c r="K109" i="13"/>
  <c r="K109" i="9"/>
  <c r="K109" i="15"/>
  <c r="K109" i="10"/>
  <c r="J109" i="10"/>
  <c r="L109" i="6"/>
  <c r="J109" i="9"/>
  <c r="J109" i="14"/>
  <c r="L109" i="13"/>
  <c r="L109" i="16"/>
  <c r="M109" i="16"/>
  <c r="U58" i="1" s="1"/>
  <c r="L109" i="15"/>
  <c r="L109" i="18"/>
  <c r="M109" i="17"/>
  <c r="J109" i="17"/>
  <c r="K109" i="4"/>
  <c r="L109" i="4"/>
  <c r="L109" i="7"/>
  <c r="M109" i="7"/>
  <c r="L109" i="12"/>
  <c r="M109" i="12"/>
  <c r="L109" i="2"/>
  <c r="L109" i="3"/>
  <c r="J109" i="8"/>
  <c r="L109" i="11"/>
  <c r="L109" i="5"/>
  <c r="M109" i="5"/>
  <c r="I79" i="13"/>
  <c r="H79" i="13"/>
  <c r="I79" i="16"/>
  <c r="H79" i="16"/>
  <c r="I79" i="15"/>
  <c r="H79" i="15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I79" i="8"/>
  <c r="H79" i="8"/>
  <c r="I79" i="9"/>
  <c r="H79" i="9"/>
  <c r="I79" i="6"/>
  <c r="H79" i="6"/>
  <c r="I79" i="18"/>
  <c r="H79" i="18"/>
  <c r="I79" i="17"/>
  <c r="H79" i="17"/>
  <c r="I79" i="4"/>
  <c r="H79" i="4"/>
  <c r="I79" i="7"/>
  <c r="H79" i="7"/>
  <c r="I79" i="14"/>
  <c r="H79" i="14"/>
  <c r="I79" i="5"/>
  <c r="H79" i="5"/>
  <c r="I79" i="10"/>
  <c r="H79" i="10"/>
  <c r="I79" i="12"/>
  <c r="H79" i="12"/>
  <c r="I79" i="2"/>
  <c r="H79" i="2"/>
  <c r="I79" i="3"/>
  <c r="H79" i="3"/>
  <c r="I79" i="11"/>
  <c r="H79" i="11"/>
  <c r="N79" i="13" l="1"/>
  <c r="J79" i="13"/>
  <c r="K79" i="13"/>
  <c r="N79" i="16"/>
  <c r="J79" i="16"/>
  <c r="M79" i="16"/>
  <c r="N79" i="15"/>
  <c r="J79" i="15"/>
  <c r="M79" i="15"/>
  <c r="N79" i="8"/>
  <c r="L79" i="8"/>
  <c r="M79" i="8"/>
  <c r="N79" i="9"/>
  <c r="J79" i="9"/>
  <c r="K79" i="9"/>
  <c r="N79" i="6"/>
  <c r="J79" i="6"/>
  <c r="K79" i="6"/>
  <c r="N79" i="18"/>
  <c r="L79" i="18"/>
  <c r="M79" i="18"/>
  <c r="N79" i="17"/>
  <c r="J79" i="17"/>
  <c r="L79" i="17"/>
  <c r="M79" i="17"/>
  <c r="N79" i="4"/>
  <c r="L79" i="4"/>
  <c r="K79" i="4"/>
  <c r="J79" i="4"/>
  <c r="M79" i="4"/>
  <c r="N79" i="7"/>
  <c r="J79" i="7"/>
  <c r="M79" i="7"/>
  <c r="N79" i="14"/>
  <c r="K79" i="14"/>
  <c r="J79" i="14"/>
  <c r="M79" i="14"/>
  <c r="N79" i="5"/>
  <c r="J79" i="5"/>
  <c r="M79" i="5"/>
  <c r="N79" i="10"/>
  <c r="J79" i="10"/>
  <c r="K79" i="10"/>
  <c r="N79" i="12"/>
  <c r="J79" i="12"/>
  <c r="M79" i="12"/>
  <c r="N79" i="2"/>
  <c r="J79" i="2"/>
  <c r="K79" i="2"/>
  <c r="N79" i="3"/>
  <c r="M79" i="3"/>
  <c r="K79" i="3"/>
  <c r="J79" i="3"/>
  <c r="N79" i="11"/>
  <c r="J79" i="11"/>
  <c r="M79" i="11"/>
  <c r="L79" i="11" l="1"/>
  <c r="K79" i="11"/>
  <c r="J79" i="8"/>
  <c r="K79" i="17"/>
  <c r="J79" i="18"/>
  <c r="K79" i="15"/>
  <c r="K79" i="16"/>
  <c r="K79" i="18"/>
  <c r="L79" i="13"/>
  <c r="M79" i="13"/>
  <c r="L79" i="16"/>
  <c r="L79" i="15"/>
  <c r="K79" i="8"/>
  <c r="L79" i="9"/>
  <c r="M79" i="9"/>
  <c r="L79" i="6"/>
  <c r="M79" i="6"/>
  <c r="K79" i="7"/>
  <c r="L79" i="7"/>
  <c r="L79" i="14"/>
  <c r="K79" i="5"/>
  <c r="L79" i="5"/>
  <c r="L79" i="10"/>
  <c r="M79" i="10"/>
  <c r="L79" i="12"/>
  <c r="K79" i="12"/>
  <c r="L79" i="2"/>
  <c r="M79" i="2"/>
  <c r="L79" i="3"/>
  <c r="N144" i="16" l="1"/>
  <c r="I144" i="16"/>
  <c r="J144" i="16" s="1"/>
  <c r="H144" i="16"/>
  <c r="M144" i="16" s="1"/>
  <c r="N143" i="16"/>
  <c r="I143" i="16"/>
  <c r="J143" i="16" s="1"/>
  <c r="H143" i="16"/>
  <c r="M143" i="16" s="1"/>
  <c r="N142" i="16"/>
  <c r="I142" i="16"/>
  <c r="H142" i="16"/>
  <c r="M142" i="16" s="1"/>
  <c r="N141" i="16"/>
  <c r="I141" i="16"/>
  <c r="J141" i="16" s="1"/>
  <c r="H141" i="16"/>
  <c r="N140" i="16"/>
  <c r="I140" i="16"/>
  <c r="J140" i="16" s="1"/>
  <c r="H140" i="16"/>
  <c r="M140" i="16" s="1"/>
  <c r="N139" i="16"/>
  <c r="I139" i="16"/>
  <c r="J139" i="16" s="1"/>
  <c r="H139" i="16"/>
  <c r="M139" i="16" s="1"/>
  <c r="N138" i="16"/>
  <c r="I138" i="16"/>
  <c r="H138" i="16"/>
  <c r="M138" i="16" s="1"/>
  <c r="N137" i="16"/>
  <c r="I137" i="16"/>
  <c r="J137" i="16" s="1"/>
  <c r="H137" i="16"/>
  <c r="N136" i="16"/>
  <c r="I136" i="16"/>
  <c r="J136" i="16" s="1"/>
  <c r="H136" i="16"/>
  <c r="M136" i="16" s="1"/>
  <c r="N135" i="16"/>
  <c r="I135" i="16"/>
  <c r="L135" i="16" s="1"/>
  <c r="H135" i="16"/>
  <c r="M135" i="16" s="1"/>
  <c r="N134" i="16"/>
  <c r="I134" i="16"/>
  <c r="H134" i="16"/>
  <c r="M134" i="16" s="1"/>
  <c r="N133" i="16"/>
  <c r="I133" i="16"/>
  <c r="J133" i="16" s="1"/>
  <c r="H133" i="16"/>
  <c r="N132" i="16"/>
  <c r="I132" i="16"/>
  <c r="J132" i="16" s="1"/>
  <c r="H132" i="16"/>
  <c r="M132" i="16" s="1"/>
  <c r="N131" i="16"/>
  <c r="I131" i="16"/>
  <c r="J131" i="16" s="1"/>
  <c r="H131" i="16"/>
  <c r="M131" i="16" s="1"/>
  <c r="N130" i="16"/>
  <c r="I130" i="16"/>
  <c r="H130" i="16"/>
  <c r="M130" i="16" s="1"/>
  <c r="N129" i="16"/>
  <c r="I129" i="16"/>
  <c r="J129" i="16" s="1"/>
  <c r="H129" i="16"/>
  <c r="N128" i="16"/>
  <c r="I128" i="16"/>
  <c r="J128" i="16" s="1"/>
  <c r="H128" i="16"/>
  <c r="M128" i="16" s="1"/>
  <c r="N127" i="16"/>
  <c r="I127" i="16"/>
  <c r="J127" i="16" s="1"/>
  <c r="H127" i="16"/>
  <c r="M127" i="16" s="1"/>
  <c r="N126" i="16"/>
  <c r="I126" i="16"/>
  <c r="L126" i="16" s="1"/>
  <c r="H126" i="16"/>
  <c r="M126" i="16" s="1"/>
  <c r="N125" i="16"/>
  <c r="I125" i="16"/>
  <c r="J125" i="16" s="1"/>
  <c r="H125" i="16"/>
  <c r="K125" i="16" s="1"/>
  <c r="N124" i="16"/>
  <c r="I124" i="16"/>
  <c r="J124" i="16" s="1"/>
  <c r="H124" i="16"/>
  <c r="M124" i="16" s="1"/>
  <c r="N123" i="16"/>
  <c r="I123" i="16"/>
  <c r="J123" i="16" s="1"/>
  <c r="H123" i="16"/>
  <c r="M123" i="16" s="1"/>
  <c r="N122" i="16"/>
  <c r="I122" i="16"/>
  <c r="L122" i="16" s="1"/>
  <c r="H122" i="16"/>
  <c r="M122" i="16" s="1"/>
  <c r="N121" i="16"/>
  <c r="I121" i="16"/>
  <c r="J121" i="16" s="1"/>
  <c r="H121" i="16"/>
  <c r="K121" i="16" s="1"/>
  <c r="N120" i="16"/>
  <c r="I120" i="16"/>
  <c r="J120" i="16" s="1"/>
  <c r="H120" i="16"/>
  <c r="M120" i="16" s="1"/>
  <c r="N119" i="16"/>
  <c r="I119" i="16"/>
  <c r="L119" i="16" s="1"/>
  <c r="H119" i="16"/>
  <c r="M119" i="16" s="1"/>
  <c r="N118" i="16"/>
  <c r="I118" i="16"/>
  <c r="L118" i="16" s="1"/>
  <c r="H118" i="16"/>
  <c r="M118" i="16" s="1"/>
  <c r="N117" i="16"/>
  <c r="I117" i="16"/>
  <c r="J117" i="16" s="1"/>
  <c r="H117" i="16"/>
  <c r="K117" i="16" s="1"/>
  <c r="N116" i="16"/>
  <c r="I116" i="16"/>
  <c r="J116" i="16" s="1"/>
  <c r="H116" i="16"/>
  <c r="M116" i="16" s="1"/>
  <c r="N115" i="16"/>
  <c r="I115" i="16"/>
  <c r="J115" i="16" s="1"/>
  <c r="H115" i="16"/>
  <c r="M115" i="16" s="1"/>
  <c r="N114" i="16"/>
  <c r="I114" i="16"/>
  <c r="L114" i="16" s="1"/>
  <c r="H114" i="16"/>
  <c r="M114" i="16" s="1"/>
  <c r="N113" i="16"/>
  <c r="I113" i="16"/>
  <c r="J113" i="16" s="1"/>
  <c r="H113" i="16"/>
  <c r="K113" i="16" s="1"/>
  <c r="N112" i="16"/>
  <c r="I112" i="16"/>
  <c r="J112" i="16" s="1"/>
  <c r="H112" i="16"/>
  <c r="M112" i="16" s="1"/>
  <c r="N111" i="16"/>
  <c r="I111" i="16"/>
  <c r="L111" i="16" s="1"/>
  <c r="H111" i="16"/>
  <c r="M111" i="16" s="1"/>
  <c r="N110" i="16"/>
  <c r="I110" i="16"/>
  <c r="L110" i="16" s="1"/>
  <c r="H110" i="16"/>
  <c r="M110" i="16" s="1"/>
  <c r="N108" i="16"/>
  <c r="I108" i="16"/>
  <c r="J108" i="16" s="1"/>
  <c r="H108" i="16"/>
  <c r="K108" i="16" s="1"/>
  <c r="N107" i="16"/>
  <c r="I107" i="16"/>
  <c r="J107" i="16" s="1"/>
  <c r="H107" i="16"/>
  <c r="M107" i="16" s="1"/>
  <c r="N106" i="16"/>
  <c r="I106" i="16"/>
  <c r="L106" i="16" s="1"/>
  <c r="H106" i="16"/>
  <c r="M106" i="16" s="1"/>
  <c r="N105" i="16"/>
  <c r="I105" i="16"/>
  <c r="L105" i="16" s="1"/>
  <c r="H105" i="16"/>
  <c r="M105" i="16" s="1"/>
  <c r="N104" i="16"/>
  <c r="I104" i="16"/>
  <c r="J104" i="16" s="1"/>
  <c r="H104" i="16"/>
  <c r="K104" i="16" s="1"/>
  <c r="N103" i="16"/>
  <c r="I103" i="16"/>
  <c r="J103" i="16" s="1"/>
  <c r="H103" i="16"/>
  <c r="M103" i="16" s="1"/>
  <c r="N102" i="16"/>
  <c r="I102" i="16"/>
  <c r="J102" i="16" s="1"/>
  <c r="H102" i="16"/>
  <c r="M102" i="16" s="1"/>
  <c r="N101" i="16"/>
  <c r="I101" i="16"/>
  <c r="L101" i="16" s="1"/>
  <c r="H101" i="16"/>
  <c r="M101" i="16" s="1"/>
  <c r="N100" i="16"/>
  <c r="I100" i="16"/>
  <c r="J100" i="16" s="1"/>
  <c r="H100" i="16"/>
  <c r="K100" i="16" s="1"/>
  <c r="N99" i="16"/>
  <c r="I99" i="16"/>
  <c r="J99" i="16" s="1"/>
  <c r="H99" i="16"/>
  <c r="M99" i="16" s="1"/>
  <c r="N98" i="16"/>
  <c r="I98" i="16"/>
  <c r="J98" i="16" s="1"/>
  <c r="H98" i="16"/>
  <c r="M98" i="16" s="1"/>
  <c r="N97" i="16"/>
  <c r="I97" i="16"/>
  <c r="L97" i="16" s="1"/>
  <c r="H97" i="16"/>
  <c r="M97" i="16" s="1"/>
  <c r="N96" i="16"/>
  <c r="I96" i="16"/>
  <c r="J96" i="16" s="1"/>
  <c r="H96" i="16"/>
  <c r="K96" i="16" s="1"/>
  <c r="N95" i="16"/>
  <c r="I95" i="16"/>
  <c r="J95" i="16" s="1"/>
  <c r="H95" i="16"/>
  <c r="M95" i="16" s="1"/>
  <c r="N94" i="16"/>
  <c r="I94" i="16"/>
  <c r="L94" i="16" s="1"/>
  <c r="H94" i="16"/>
  <c r="M94" i="16" s="1"/>
  <c r="N93" i="16"/>
  <c r="I93" i="16"/>
  <c r="L93" i="16" s="1"/>
  <c r="H93" i="16"/>
  <c r="M93" i="16" s="1"/>
  <c r="N92" i="16"/>
  <c r="I92" i="16"/>
  <c r="J92" i="16" s="1"/>
  <c r="H92" i="16"/>
  <c r="K92" i="16" s="1"/>
  <c r="N91" i="16"/>
  <c r="I91" i="16"/>
  <c r="J91" i="16" s="1"/>
  <c r="H91" i="16"/>
  <c r="M91" i="16" s="1"/>
  <c r="N90" i="16"/>
  <c r="I90" i="16"/>
  <c r="L90" i="16" s="1"/>
  <c r="H90" i="16"/>
  <c r="M90" i="16" s="1"/>
  <c r="N89" i="16"/>
  <c r="I89" i="16"/>
  <c r="L89" i="16" s="1"/>
  <c r="H89" i="16"/>
  <c r="M89" i="16" s="1"/>
  <c r="N88" i="16"/>
  <c r="I88" i="16"/>
  <c r="J88" i="16" s="1"/>
  <c r="H88" i="16"/>
  <c r="K88" i="16" s="1"/>
  <c r="N87" i="16"/>
  <c r="I87" i="16"/>
  <c r="J87" i="16" s="1"/>
  <c r="H87" i="16"/>
  <c r="M87" i="16" s="1"/>
  <c r="N86" i="16"/>
  <c r="I86" i="16"/>
  <c r="L86" i="16" s="1"/>
  <c r="H86" i="16"/>
  <c r="M86" i="16" s="1"/>
  <c r="N85" i="16"/>
  <c r="I85" i="16"/>
  <c r="L85" i="16" s="1"/>
  <c r="H85" i="16"/>
  <c r="K85" i="16" s="1"/>
  <c r="N84" i="16"/>
  <c r="I84" i="16"/>
  <c r="J84" i="16" s="1"/>
  <c r="H84" i="16"/>
  <c r="K84" i="16" s="1"/>
  <c r="N83" i="16"/>
  <c r="I83" i="16"/>
  <c r="J83" i="16" s="1"/>
  <c r="H83" i="16"/>
  <c r="M83" i="16" s="1"/>
  <c r="N82" i="16"/>
  <c r="I82" i="16"/>
  <c r="L82" i="16" s="1"/>
  <c r="H82" i="16"/>
  <c r="M82" i="16" s="1"/>
  <c r="N81" i="16"/>
  <c r="I81" i="16"/>
  <c r="L81" i="16" s="1"/>
  <c r="H81" i="16"/>
  <c r="K81" i="16" s="1"/>
  <c r="N80" i="16"/>
  <c r="I80" i="16"/>
  <c r="J80" i="16" s="1"/>
  <c r="H80" i="16"/>
  <c r="K80" i="16" s="1"/>
  <c r="N78" i="16"/>
  <c r="I78" i="16"/>
  <c r="J78" i="16" s="1"/>
  <c r="H78" i="16"/>
  <c r="M78" i="16" s="1"/>
  <c r="N77" i="16"/>
  <c r="I77" i="16"/>
  <c r="L77" i="16" s="1"/>
  <c r="H77" i="16"/>
  <c r="M77" i="16" s="1"/>
  <c r="N76" i="16"/>
  <c r="I76" i="16"/>
  <c r="L76" i="16" s="1"/>
  <c r="H76" i="16"/>
  <c r="M76" i="16" s="1"/>
  <c r="N75" i="16"/>
  <c r="I75" i="16"/>
  <c r="J75" i="16" s="1"/>
  <c r="H75" i="16"/>
  <c r="K75" i="16" s="1"/>
  <c r="N74" i="16"/>
  <c r="I74" i="16"/>
  <c r="J74" i="16" s="1"/>
  <c r="H74" i="16"/>
  <c r="M74" i="16" s="1"/>
  <c r="N73" i="16"/>
  <c r="I73" i="16"/>
  <c r="L73" i="16" s="1"/>
  <c r="H73" i="16"/>
  <c r="M73" i="16" s="1"/>
  <c r="N72" i="16"/>
  <c r="I72" i="16"/>
  <c r="L72" i="16" s="1"/>
  <c r="H72" i="16"/>
  <c r="M72" i="16" s="1"/>
  <c r="N71" i="16"/>
  <c r="I71" i="16"/>
  <c r="L71" i="16" s="1"/>
  <c r="H71" i="16"/>
  <c r="K71" i="16" s="1"/>
  <c r="N70" i="16"/>
  <c r="I70" i="16"/>
  <c r="J70" i="16" s="1"/>
  <c r="H70" i="16"/>
  <c r="K70" i="16" s="1"/>
  <c r="N69" i="16"/>
  <c r="I69" i="16"/>
  <c r="L69" i="16" s="1"/>
  <c r="H69" i="16"/>
  <c r="M69" i="16" s="1"/>
  <c r="N68" i="16"/>
  <c r="I68" i="16"/>
  <c r="L68" i="16" s="1"/>
  <c r="H68" i="16"/>
  <c r="K68" i="16" s="1"/>
  <c r="N67" i="16"/>
  <c r="I67" i="16"/>
  <c r="L67" i="16" s="1"/>
  <c r="H67" i="16"/>
  <c r="K67" i="16" s="1"/>
  <c r="N66" i="16"/>
  <c r="I66" i="16"/>
  <c r="J66" i="16" s="1"/>
  <c r="H66" i="16"/>
  <c r="K66" i="16" s="1"/>
  <c r="N65" i="16"/>
  <c r="I65" i="16"/>
  <c r="L65" i="16" s="1"/>
  <c r="H65" i="16"/>
  <c r="M65" i="16" s="1"/>
  <c r="N64" i="16"/>
  <c r="I64" i="16"/>
  <c r="L64" i="16" s="1"/>
  <c r="H64" i="16"/>
  <c r="M64" i="16" s="1"/>
  <c r="N63" i="16"/>
  <c r="I63" i="16"/>
  <c r="J63" i="16" s="1"/>
  <c r="H63" i="16"/>
  <c r="K63" i="16" s="1"/>
  <c r="N62" i="16"/>
  <c r="I62" i="16"/>
  <c r="J62" i="16" s="1"/>
  <c r="H62" i="16"/>
  <c r="K62" i="16" s="1"/>
  <c r="N61" i="16"/>
  <c r="I61" i="16"/>
  <c r="L61" i="16" s="1"/>
  <c r="H61" i="16"/>
  <c r="M61" i="16" s="1"/>
  <c r="N60" i="16"/>
  <c r="I60" i="16"/>
  <c r="L60" i="16" s="1"/>
  <c r="H60" i="16"/>
  <c r="M60" i="16" s="1"/>
  <c r="N59" i="16"/>
  <c r="I59" i="16"/>
  <c r="L59" i="16" s="1"/>
  <c r="H59" i="16"/>
  <c r="K59" i="16" s="1"/>
  <c r="N58" i="16"/>
  <c r="I58" i="16"/>
  <c r="L58" i="16" s="1"/>
  <c r="H58" i="16"/>
  <c r="M58" i="16" s="1"/>
  <c r="N57" i="16"/>
  <c r="I57" i="16"/>
  <c r="L57" i="16" s="1"/>
  <c r="H57" i="16"/>
  <c r="K57" i="16" s="1"/>
  <c r="N56" i="16"/>
  <c r="I56" i="16"/>
  <c r="J56" i="16" s="1"/>
  <c r="H56" i="16"/>
  <c r="K56" i="16" s="1"/>
  <c r="N55" i="16"/>
  <c r="I55" i="16"/>
  <c r="J55" i="16" s="1"/>
  <c r="H55" i="16"/>
  <c r="M55" i="16" s="1"/>
  <c r="N54" i="16"/>
  <c r="I54" i="16"/>
  <c r="L54" i="16" s="1"/>
  <c r="H54" i="16"/>
  <c r="M54" i="16" s="1"/>
  <c r="N53" i="16"/>
  <c r="I53" i="16"/>
  <c r="L53" i="16" s="1"/>
  <c r="H53" i="16"/>
  <c r="K53" i="16" s="1"/>
  <c r="N52" i="16"/>
  <c r="I52" i="16"/>
  <c r="J52" i="16" s="1"/>
  <c r="H52" i="16"/>
  <c r="K52" i="16" s="1"/>
  <c r="N51" i="16"/>
  <c r="I51" i="16"/>
  <c r="L51" i="16" s="1"/>
  <c r="H51" i="16"/>
  <c r="M51" i="16" s="1"/>
  <c r="N50" i="16"/>
  <c r="I50" i="16"/>
  <c r="L50" i="16" s="1"/>
  <c r="H50" i="16"/>
  <c r="M50" i="16" s="1"/>
  <c r="N49" i="16"/>
  <c r="I49" i="16"/>
  <c r="L49" i="16" s="1"/>
  <c r="H49" i="16"/>
  <c r="K49" i="16" s="1"/>
  <c r="N48" i="16"/>
  <c r="I48" i="16"/>
  <c r="J48" i="16" s="1"/>
  <c r="H48" i="16"/>
  <c r="K48" i="16" s="1"/>
  <c r="N47" i="16"/>
  <c r="I47" i="16"/>
  <c r="L47" i="16" s="1"/>
  <c r="H47" i="16"/>
  <c r="M47" i="16" s="1"/>
  <c r="N46" i="16"/>
  <c r="I46" i="16"/>
  <c r="L46" i="16" s="1"/>
  <c r="H46" i="16"/>
  <c r="M46" i="16" s="1"/>
  <c r="N45" i="16"/>
  <c r="I45" i="16"/>
  <c r="L45" i="16" s="1"/>
  <c r="H45" i="16"/>
  <c r="K45" i="16" s="1"/>
  <c r="N44" i="16"/>
  <c r="I44" i="16"/>
  <c r="J44" i="16" s="1"/>
  <c r="H44" i="16"/>
  <c r="K44" i="16" s="1"/>
  <c r="N43" i="16"/>
  <c r="I43" i="16"/>
  <c r="L43" i="16" s="1"/>
  <c r="H43" i="16"/>
  <c r="M43" i="16" s="1"/>
  <c r="N42" i="16"/>
  <c r="I42" i="16"/>
  <c r="L42" i="16" s="1"/>
  <c r="H42" i="16"/>
  <c r="M42" i="16" s="1"/>
  <c r="N41" i="16"/>
  <c r="I41" i="16"/>
  <c r="L41" i="16" s="1"/>
  <c r="H41" i="16"/>
  <c r="K41" i="16" s="1"/>
  <c r="N40" i="16"/>
  <c r="I40" i="16"/>
  <c r="J40" i="16" s="1"/>
  <c r="H40" i="16"/>
  <c r="K40" i="16" s="1"/>
  <c r="N39" i="16"/>
  <c r="I39" i="16"/>
  <c r="J39" i="16" s="1"/>
  <c r="H39" i="16"/>
  <c r="M39" i="16" s="1"/>
  <c r="N38" i="16"/>
  <c r="I38" i="16"/>
  <c r="L38" i="16" s="1"/>
  <c r="H38" i="16"/>
  <c r="M38" i="16" s="1"/>
  <c r="N37" i="16"/>
  <c r="I37" i="16"/>
  <c r="L37" i="16" s="1"/>
  <c r="H37" i="16"/>
  <c r="K37" i="16" s="1"/>
  <c r="N36" i="16"/>
  <c r="I36" i="16"/>
  <c r="J36" i="16" s="1"/>
  <c r="H36" i="16"/>
  <c r="K36" i="16" s="1"/>
  <c r="N35" i="16"/>
  <c r="I35" i="16"/>
  <c r="L35" i="16" s="1"/>
  <c r="H35" i="16"/>
  <c r="M35" i="16" s="1"/>
  <c r="N34" i="16"/>
  <c r="I34" i="16"/>
  <c r="L34" i="16" s="1"/>
  <c r="H34" i="16"/>
  <c r="M34" i="16" s="1"/>
  <c r="N33" i="16"/>
  <c r="I33" i="16"/>
  <c r="L33" i="16" s="1"/>
  <c r="H33" i="16"/>
  <c r="K33" i="16" s="1"/>
  <c r="N32" i="16"/>
  <c r="I32" i="16"/>
  <c r="J32" i="16" s="1"/>
  <c r="H32" i="16"/>
  <c r="K32" i="16" s="1"/>
  <c r="N31" i="16"/>
  <c r="I31" i="16"/>
  <c r="L31" i="16" s="1"/>
  <c r="H31" i="16"/>
  <c r="M31" i="16" s="1"/>
  <c r="N30" i="16"/>
  <c r="I30" i="16"/>
  <c r="L30" i="16" s="1"/>
  <c r="H30" i="16"/>
  <c r="M30" i="16" s="1"/>
  <c r="N29" i="16"/>
  <c r="I29" i="16"/>
  <c r="L29" i="16" s="1"/>
  <c r="H29" i="16"/>
  <c r="K29" i="16" s="1"/>
  <c r="N28" i="16"/>
  <c r="I28" i="16"/>
  <c r="J28" i="16" s="1"/>
  <c r="H28" i="16"/>
  <c r="K28" i="16" s="1"/>
  <c r="N27" i="16"/>
  <c r="I27" i="16"/>
  <c r="L27" i="16" s="1"/>
  <c r="H27" i="16"/>
  <c r="M27" i="16" s="1"/>
  <c r="N26" i="16"/>
  <c r="I26" i="16"/>
  <c r="L26" i="16" s="1"/>
  <c r="H26" i="16"/>
  <c r="M26" i="16" s="1"/>
  <c r="N25" i="16"/>
  <c r="I25" i="16"/>
  <c r="L25" i="16" s="1"/>
  <c r="H25" i="16"/>
  <c r="K25" i="16" s="1"/>
  <c r="N24" i="16"/>
  <c r="I24" i="16"/>
  <c r="J24" i="16" s="1"/>
  <c r="H24" i="16"/>
  <c r="K24" i="16" s="1"/>
  <c r="N23" i="16"/>
  <c r="I23" i="16"/>
  <c r="L23" i="16" s="1"/>
  <c r="H23" i="16"/>
  <c r="M23" i="16" s="1"/>
  <c r="N22" i="16"/>
  <c r="I22" i="16"/>
  <c r="L22" i="16" s="1"/>
  <c r="H22" i="16"/>
  <c r="M22" i="16" s="1"/>
  <c r="N21" i="16"/>
  <c r="I21" i="16"/>
  <c r="L21" i="16" s="1"/>
  <c r="H21" i="16"/>
  <c r="K21" i="16" s="1"/>
  <c r="N20" i="16"/>
  <c r="I20" i="16"/>
  <c r="J20" i="16" s="1"/>
  <c r="H20" i="16"/>
  <c r="K20" i="16" s="1"/>
  <c r="N19" i="16"/>
  <c r="I19" i="16"/>
  <c r="L19" i="16" s="1"/>
  <c r="H19" i="16"/>
  <c r="M19" i="16" s="1"/>
  <c r="N18" i="16"/>
  <c r="I18" i="16"/>
  <c r="L18" i="16" s="1"/>
  <c r="H18" i="16"/>
  <c r="M18" i="16" s="1"/>
  <c r="N17" i="16"/>
  <c r="I17" i="16"/>
  <c r="L17" i="16" s="1"/>
  <c r="H17" i="16"/>
  <c r="K17" i="16" s="1"/>
  <c r="N16" i="16"/>
  <c r="I16" i="16"/>
  <c r="J16" i="16" s="1"/>
  <c r="H16" i="16"/>
  <c r="K16" i="16" s="1"/>
  <c r="N15" i="16"/>
  <c r="I15" i="16"/>
  <c r="L15" i="16" s="1"/>
  <c r="H15" i="16"/>
  <c r="M15" i="16" s="1"/>
  <c r="N14" i="16"/>
  <c r="I14" i="16"/>
  <c r="L14" i="16" s="1"/>
  <c r="H14" i="16"/>
  <c r="M14" i="16" s="1"/>
  <c r="N13" i="16"/>
  <c r="I13" i="16"/>
  <c r="L13" i="16" s="1"/>
  <c r="H13" i="16"/>
  <c r="K13" i="16" s="1"/>
  <c r="N12" i="16"/>
  <c r="I12" i="16"/>
  <c r="J12" i="16" s="1"/>
  <c r="H12" i="16"/>
  <c r="K12" i="16" s="1"/>
  <c r="N11" i="16"/>
  <c r="I11" i="16"/>
  <c r="L11" i="16" s="1"/>
  <c r="H11" i="16"/>
  <c r="M11" i="16" s="1"/>
  <c r="N10" i="16"/>
  <c r="I10" i="16"/>
  <c r="L10" i="16" s="1"/>
  <c r="H10" i="16"/>
  <c r="M10" i="16" s="1"/>
  <c r="N9" i="16"/>
  <c r="I9" i="16"/>
  <c r="L9" i="16" s="1"/>
  <c r="H9" i="16"/>
  <c r="K9" i="16" s="1"/>
  <c r="N8" i="16"/>
  <c r="I8" i="16"/>
  <c r="J8" i="16" s="1"/>
  <c r="H8" i="16"/>
  <c r="K8" i="16" s="1"/>
  <c r="N7" i="16"/>
  <c r="I7" i="16"/>
  <c r="L7" i="16" s="1"/>
  <c r="H7" i="16"/>
  <c r="M7" i="16" s="1"/>
  <c r="N6" i="16"/>
  <c r="I6" i="16"/>
  <c r="L6" i="16" s="1"/>
  <c r="H6" i="16"/>
  <c r="M6" i="16" s="1"/>
  <c r="N5" i="16"/>
  <c r="I5" i="16"/>
  <c r="L5" i="16" s="1"/>
  <c r="H5" i="16"/>
  <c r="K5" i="16" s="1"/>
  <c r="N4" i="16"/>
  <c r="I4" i="16"/>
  <c r="J4" i="16" s="1"/>
  <c r="H4" i="16"/>
  <c r="K4" i="16" s="1"/>
  <c r="N3" i="16"/>
  <c r="I3" i="16"/>
  <c r="J3" i="16" s="1"/>
  <c r="H3" i="16"/>
  <c r="M3" i="16" s="1"/>
  <c r="N2" i="16"/>
  <c r="I2" i="16"/>
  <c r="L2" i="16" s="1"/>
  <c r="H2" i="16"/>
  <c r="M2" i="16" s="1"/>
  <c r="L39" i="16" l="1"/>
  <c r="M16" i="16"/>
  <c r="M28" i="16"/>
  <c r="L91" i="16"/>
  <c r="J77" i="16"/>
  <c r="J19" i="16"/>
  <c r="L55" i="16"/>
  <c r="J27" i="16"/>
  <c r="J86" i="16"/>
  <c r="L3" i="16"/>
  <c r="J11" i="16"/>
  <c r="J31" i="16"/>
  <c r="J47" i="16"/>
  <c r="L63" i="16"/>
  <c r="J64" i="16"/>
  <c r="J69" i="16"/>
  <c r="J111" i="16"/>
  <c r="J101" i="16"/>
  <c r="L102" i="16"/>
  <c r="L103" i="16"/>
  <c r="L131" i="16"/>
  <c r="J7" i="16"/>
  <c r="J35" i="16"/>
  <c r="J43" i="16"/>
  <c r="J51" i="16"/>
  <c r="J59" i="16"/>
  <c r="J89" i="16"/>
  <c r="J97" i="16"/>
  <c r="L98" i="16"/>
  <c r="L99" i="16"/>
  <c r="J119" i="16"/>
  <c r="J135" i="16"/>
  <c r="J15" i="16"/>
  <c r="J23" i="16"/>
  <c r="J60" i="16"/>
  <c r="J73" i="16"/>
  <c r="J82" i="16"/>
  <c r="L95" i="16"/>
  <c r="J106" i="16"/>
  <c r="L115" i="16"/>
  <c r="L116" i="16"/>
  <c r="L117" i="16"/>
  <c r="L127" i="16"/>
  <c r="J71" i="16"/>
  <c r="J93" i="16"/>
  <c r="L123" i="16"/>
  <c r="L124" i="16"/>
  <c r="L125" i="16"/>
  <c r="L139" i="16"/>
  <c r="M48" i="16"/>
  <c r="M44" i="16"/>
  <c r="K103" i="16"/>
  <c r="K114" i="16"/>
  <c r="M12" i="16"/>
  <c r="M32" i="16"/>
  <c r="K139" i="16"/>
  <c r="M8" i="16"/>
  <c r="M24" i="16"/>
  <c r="M40" i="16"/>
  <c r="M56" i="16"/>
  <c r="K60" i="16"/>
  <c r="K95" i="16"/>
  <c r="M104" i="16"/>
  <c r="K106" i="16"/>
  <c r="M108" i="16"/>
  <c r="K111" i="16"/>
  <c r="M20" i="16"/>
  <c r="M36" i="16"/>
  <c r="M52" i="16"/>
  <c r="M4" i="16"/>
  <c r="K143" i="16"/>
  <c r="K73" i="16"/>
  <c r="M75" i="16"/>
  <c r="K77" i="16"/>
  <c r="K82" i="16"/>
  <c r="K93" i="16"/>
  <c r="M96" i="16"/>
  <c r="K112" i="16"/>
  <c r="M117" i="16"/>
  <c r="K119" i="16"/>
  <c r="K122" i="16"/>
  <c r="K127" i="16"/>
  <c r="K131" i="16"/>
  <c r="K135" i="16"/>
  <c r="K140" i="16"/>
  <c r="K64" i="16"/>
  <c r="K78" i="16"/>
  <c r="K89" i="16"/>
  <c r="K97" i="16"/>
  <c r="M100" i="16"/>
  <c r="K120" i="16"/>
  <c r="M125" i="16"/>
  <c r="K128" i="16"/>
  <c r="K132" i="16"/>
  <c r="K136" i="16"/>
  <c r="K86" i="16"/>
  <c r="K101" i="16"/>
  <c r="M81" i="16"/>
  <c r="M85" i="16"/>
  <c r="J5" i="16"/>
  <c r="J25" i="16"/>
  <c r="J29" i="16"/>
  <c r="J33" i="16"/>
  <c r="J37" i="16"/>
  <c r="J41" i="16"/>
  <c r="J45" i="16"/>
  <c r="J49" i="16"/>
  <c r="J53" i="16"/>
  <c r="J57" i="16"/>
  <c r="J65" i="16"/>
  <c r="J67" i="16"/>
  <c r="J72" i="16"/>
  <c r="L74" i="16"/>
  <c r="J76" i="16"/>
  <c r="J90" i="16"/>
  <c r="J94" i="16"/>
  <c r="J105" i="16"/>
  <c r="L107" i="16"/>
  <c r="J110" i="16"/>
  <c r="J118" i="16"/>
  <c r="J126" i="16"/>
  <c r="L143" i="16"/>
  <c r="K144" i="16"/>
  <c r="J9" i="16"/>
  <c r="J13" i="16"/>
  <c r="J17" i="16"/>
  <c r="J21" i="16"/>
  <c r="K2" i="16"/>
  <c r="K6" i="16"/>
  <c r="K10" i="16"/>
  <c r="K14" i="16"/>
  <c r="K18" i="16"/>
  <c r="K22" i="16"/>
  <c r="K26" i="16"/>
  <c r="K30" i="16"/>
  <c r="K34" i="16"/>
  <c r="K38" i="16"/>
  <c r="K42" i="16"/>
  <c r="K46" i="16"/>
  <c r="K50" i="16"/>
  <c r="K54" i="16"/>
  <c r="K58" i="16"/>
  <c r="J61" i="16"/>
  <c r="J68" i="16"/>
  <c r="K72" i="16"/>
  <c r="K76" i="16"/>
  <c r="L78" i="16"/>
  <c r="M80" i="16"/>
  <c r="J81" i="16"/>
  <c r="L83" i="16"/>
  <c r="M84" i="16"/>
  <c r="J85" i="16"/>
  <c r="K87" i="16"/>
  <c r="K90" i="16"/>
  <c r="K94" i="16"/>
  <c r="K105" i="16"/>
  <c r="K110" i="16"/>
  <c r="L112" i="16"/>
  <c r="K118" i="16"/>
  <c r="L120" i="16"/>
  <c r="K126" i="16"/>
  <c r="L128" i="16"/>
  <c r="L129" i="16"/>
  <c r="K130" i="16"/>
  <c r="L132" i="16"/>
  <c r="L133" i="16"/>
  <c r="K134" i="16"/>
  <c r="L136" i="16"/>
  <c r="L137" i="16"/>
  <c r="K138" i="16"/>
  <c r="L140" i="16"/>
  <c r="L141" i="16"/>
  <c r="K142" i="16"/>
  <c r="L144" i="16"/>
  <c r="M68" i="16"/>
  <c r="L87" i="16"/>
  <c r="M88" i="16"/>
  <c r="M92" i="16"/>
  <c r="K98" i="16"/>
  <c r="K102" i="16"/>
  <c r="K115" i="16"/>
  <c r="K123" i="16"/>
  <c r="M66" i="16"/>
  <c r="L130" i="16"/>
  <c r="J130" i="16"/>
  <c r="L138" i="16"/>
  <c r="J138" i="16"/>
  <c r="L142" i="16"/>
  <c r="J142" i="16"/>
  <c r="J2" i="16"/>
  <c r="K3" i="16"/>
  <c r="L4" i="16"/>
  <c r="M5" i="16"/>
  <c r="J6" i="16"/>
  <c r="K7" i="16"/>
  <c r="L8" i="16"/>
  <c r="M9" i="16"/>
  <c r="J10" i="16"/>
  <c r="K11" i="16"/>
  <c r="L12" i="16"/>
  <c r="M13" i="16"/>
  <c r="J14" i="16"/>
  <c r="K15" i="16"/>
  <c r="L16" i="16"/>
  <c r="M17" i="16"/>
  <c r="J18" i="16"/>
  <c r="K19" i="16"/>
  <c r="L20" i="16"/>
  <c r="M21" i="16"/>
  <c r="J22" i="16"/>
  <c r="K23" i="16"/>
  <c r="L24" i="16"/>
  <c r="M25" i="16"/>
  <c r="J26" i="16"/>
  <c r="K27" i="16"/>
  <c r="L28" i="16"/>
  <c r="M29" i="16"/>
  <c r="J30" i="16"/>
  <c r="K31" i="16"/>
  <c r="L32" i="16"/>
  <c r="M33" i="16"/>
  <c r="J34" i="16"/>
  <c r="K35" i="16"/>
  <c r="L36" i="16"/>
  <c r="M37" i="16"/>
  <c r="J38" i="16"/>
  <c r="K39" i="16"/>
  <c r="L40" i="16"/>
  <c r="M41" i="16"/>
  <c r="J42" i="16"/>
  <c r="K43" i="16"/>
  <c r="L44" i="16"/>
  <c r="M45" i="16"/>
  <c r="J46" i="16"/>
  <c r="K47" i="16"/>
  <c r="L48" i="16"/>
  <c r="M49" i="16"/>
  <c r="J50" i="16"/>
  <c r="K51" i="16"/>
  <c r="L52" i="16"/>
  <c r="M53" i="16"/>
  <c r="J54" i="16"/>
  <c r="K55" i="16"/>
  <c r="L56" i="16"/>
  <c r="M57" i="16"/>
  <c r="J58" i="16"/>
  <c r="K61" i="16"/>
  <c r="K65" i="16"/>
  <c r="K69" i="16"/>
  <c r="L80" i="16"/>
  <c r="L88" i="16"/>
  <c r="L96" i="16"/>
  <c r="L104" i="16"/>
  <c r="L113" i="16"/>
  <c r="L121" i="16"/>
  <c r="M62" i="16"/>
  <c r="M70" i="16"/>
  <c r="L134" i="16"/>
  <c r="J134" i="16"/>
  <c r="M59" i="16"/>
  <c r="M63" i="16"/>
  <c r="M67" i="16"/>
  <c r="M71" i="16"/>
  <c r="K74" i="16"/>
  <c r="K83" i="16"/>
  <c r="K91" i="16"/>
  <c r="K99" i="16"/>
  <c r="K107" i="16"/>
  <c r="M113" i="16"/>
  <c r="J114" i="16"/>
  <c r="K116" i="16"/>
  <c r="M121" i="16"/>
  <c r="J122" i="16"/>
  <c r="K124" i="16"/>
  <c r="L62" i="16"/>
  <c r="L66" i="16"/>
  <c r="L70" i="16"/>
  <c r="L75" i="16"/>
  <c r="L84" i="16"/>
  <c r="L92" i="16"/>
  <c r="L100" i="16"/>
  <c r="L108" i="16"/>
  <c r="K129" i="16"/>
  <c r="M129" i="16"/>
  <c r="K133" i="16"/>
  <c r="M133" i="16"/>
  <c r="K137" i="16"/>
  <c r="M137" i="16"/>
  <c r="K141" i="16"/>
  <c r="M141" i="16"/>
  <c r="N144" i="13"/>
  <c r="I144" i="13"/>
  <c r="J144" i="13" s="1"/>
  <c r="H144" i="13"/>
  <c r="M144" i="13" s="1"/>
  <c r="N143" i="13"/>
  <c r="I143" i="13"/>
  <c r="L143" i="13" s="1"/>
  <c r="H143" i="13"/>
  <c r="M143" i="13" s="1"/>
  <c r="N142" i="13"/>
  <c r="I142" i="13"/>
  <c r="H142" i="13"/>
  <c r="N141" i="13"/>
  <c r="I141" i="13"/>
  <c r="L141" i="13" s="1"/>
  <c r="H141" i="13"/>
  <c r="N140" i="13"/>
  <c r="I140" i="13"/>
  <c r="J140" i="13" s="1"/>
  <c r="H140" i="13"/>
  <c r="K140" i="13" s="1"/>
  <c r="N139" i="13"/>
  <c r="I139" i="13"/>
  <c r="H139" i="13"/>
  <c r="M139" i="13" s="1"/>
  <c r="N138" i="13"/>
  <c r="I138" i="13"/>
  <c r="H138" i="13"/>
  <c r="K138" i="13" s="1"/>
  <c r="N137" i="13"/>
  <c r="I137" i="13"/>
  <c r="L137" i="13" s="1"/>
  <c r="H137" i="13"/>
  <c r="N136" i="13"/>
  <c r="I136" i="13"/>
  <c r="J136" i="13" s="1"/>
  <c r="H136" i="13"/>
  <c r="M136" i="13" s="1"/>
  <c r="N135" i="13"/>
  <c r="I135" i="13"/>
  <c r="H135" i="13"/>
  <c r="M135" i="13" s="1"/>
  <c r="N134" i="13"/>
  <c r="I134" i="13"/>
  <c r="H134" i="13"/>
  <c r="N133" i="13"/>
  <c r="I133" i="13"/>
  <c r="H133" i="13"/>
  <c r="N132" i="13"/>
  <c r="I132" i="13"/>
  <c r="J132" i="13" s="1"/>
  <c r="H132" i="13"/>
  <c r="N131" i="13"/>
  <c r="I131" i="13"/>
  <c r="L131" i="13" s="1"/>
  <c r="H131" i="13"/>
  <c r="M131" i="13" s="1"/>
  <c r="N130" i="13"/>
  <c r="I130" i="13"/>
  <c r="H130" i="13"/>
  <c r="N129" i="13"/>
  <c r="I129" i="13"/>
  <c r="H129" i="13"/>
  <c r="N128" i="13"/>
  <c r="I128" i="13"/>
  <c r="J128" i="13" s="1"/>
  <c r="H128" i="13"/>
  <c r="N127" i="13"/>
  <c r="I127" i="13"/>
  <c r="L127" i="13" s="1"/>
  <c r="H127" i="13"/>
  <c r="M127" i="13" s="1"/>
  <c r="N126" i="13"/>
  <c r="I126" i="13"/>
  <c r="H126" i="13"/>
  <c r="N125" i="13"/>
  <c r="I125" i="13"/>
  <c r="H125" i="13"/>
  <c r="N124" i="13"/>
  <c r="I124" i="13"/>
  <c r="J124" i="13" s="1"/>
  <c r="H124" i="13"/>
  <c r="N123" i="13"/>
  <c r="I123" i="13"/>
  <c r="H123" i="13"/>
  <c r="M123" i="13" s="1"/>
  <c r="N122" i="13"/>
  <c r="I122" i="13"/>
  <c r="H122" i="13"/>
  <c r="N121" i="13"/>
  <c r="I121" i="13"/>
  <c r="L121" i="13" s="1"/>
  <c r="H121" i="13"/>
  <c r="N120" i="13"/>
  <c r="I120" i="13"/>
  <c r="J120" i="13" s="1"/>
  <c r="H120" i="13"/>
  <c r="N119" i="13"/>
  <c r="I119" i="13"/>
  <c r="J119" i="13" s="1"/>
  <c r="H119" i="13"/>
  <c r="M119" i="13" s="1"/>
  <c r="N118" i="13"/>
  <c r="I118" i="13"/>
  <c r="H118" i="13"/>
  <c r="N117" i="13"/>
  <c r="I117" i="13"/>
  <c r="L117" i="13" s="1"/>
  <c r="H117" i="13"/>
  <c r="N116" i="13"/>
  <c r="I116" i="13"/>
  <c r="J116" i="13" s="1"/>
  <c r="H116" i="13"/>
  <c r="M116" i="13" s="1"/>
  <c r="N115" i="13"/>
  <c r="I115" i="13"/>
  <c r="L115" i="13" s="1"/>
  <c r="H115" i="13"/>
  <c r="M115" i="13" s="1"/>
  <c r="N114" i="13"/>
  <c r="I114" i="13"/>
  <c r="H114" i="13"/>
  <c r="N113" i="13"/>
  <c r="I113" i="13"/>
  <c r="H113" i="13"/>
  <c r="N112" i="13"/>
  <c r="I112" i="13"/>
  <c r="J112" i="13" s="1"/>
  <c r="H112" i="13"/>
  <c r="K112" i="13" s="1"/>
  <c r="N111" i="13"/>
  <c r="I111" i="13"/>
  <c r="H111" i="13"/>
  <c r="M111" i="13" s="1"/>
  <c r="N110" i="13"/>
  <c r="I110" i="13"/>
  <c r="H110" i="13"/>
  <c r="M110" i="13" s="1"/>
  <c r="N108" i="13"/>
  <c r="I108" i="13"/>
  <c r="L108" i="13" s="1"/>
  <c r="H108" i="13"/>
  <c r="N107" i="13"/>
  <c r="I107" i="13"/>
  <c r="J107" i="13" s="1"/>
  <c r="H107" i="13"/>
  <c r="N106" i="13"/>
  <c r="I106" i="13"/>
  <c r="H106" i="13"/>
  <c r="M106" i="13" s="1"/>
  <c r="N105" i="13"/>
  <c r="I105" i="13"/>
  <c r="H105" i="13"/>
  <c r="N104" i="13"/>
  <c r="I104" i="13"/>
  <c r="L104" i="13" s="1"/>
  <c r="H104" i="13"/>
  <c r="N103" i="13"/>
  <c r="I103" i="13"/>
  <c r="J103" i="13" s="1"/>
  <c r="H103" i="13"/>
  <c r="N102" i="13"/>
  <c r="I102" i="13"/>
  <c r="L102" i="13" s="1"/>
  <c r="H102" i="13"/>
  <c r="M102" i="13" s="1"/>
  <c r="N101" i="13"/>
  <c r="I101" i="13"/>
  <c r="H101" i="13"/>
  <c r="N100" i="13"/>
  <c r="I100" i="13"/>
  <c r="L100" i="13" s="1"/>
  <c r="H100" i="13"/>
  <c r="N99" i="13"/>
  <c r="I99" i="13"/>
  <c r="J99" i="13" s="1"/>
  <c r="H99" i="13"/>
  <c r="N98" i="13"/>
  <c r="I98" i="13"/>
  <c r="L98" i="13" s="1"/>
  <c r="H98" i="13"/>
  <c r="M98" i="13" s="1"/>
  <c r="N97" i="13"/>
  <c r="I97" i="13"/>
  <c r="H97" i="13"/>
  <c r="N96" i="13"/>
  <c r="I96" i="13"/>
  <c r="H96" i="13"/>
  <c r="N95" i="13"/>
  <c r="I95" i="13"/>
  <c r="J95" i="13" s="1"/>
  <c r="H95" i="13"/>
  <c r="N94" i="13"/>
  <c r="I94" i="13"/>
  <c r="L94" i="13" s="1"/>
  <c r="H94" i="13"/>
  <c r="M94" i="13" s="1"/>
  <c r="N93" i="13"/>
  <c r="I93" i="13"/>
  <c r="H93" i="13"/>
  <c r="N92" i="13"/>
  <c r="I92" i="13"/>
  <c r="L92" i="13" s="1"/>
  <c r="H92" i="13"/>
  <c r="N91" i="13"/>
  <c r="I91" i="13"/>
  <c r="J91" i="13" s="1"/>
  <c r="H91" i="13"/>
  <c r="N90" i="13"/>
  <c r="I90" i="13"/>
  <c r="H90" i="13"/>
  <c r="M90" i="13" s="1"/>
  <c r="N89" i="13"/>
  <c r="I89" i="13"/>
  <c r="H89" i="13"/>
  <c r="N88" i="13"/>
  <c r="I88" i="13"/>
  <c r="H88" i="13"/>
  <c r="N87" i="13"/>
  <c r="I87" i="13"/>
  <c r="J87" i="13" s="1"/>
  <c r="H87" i="13"/>
  <c r="M87" i="13" s="1"/>
  <c r="N86" i="13"/>
  <c r="I86" i="13"/>
  <c r="L86" i="13" s="1"/>
  <c r="H86" i="13"/>
  <c r="M86" i="13" s="1"/>
  <c r="N85" i="13"/>
  <c r="I85" i="13"/>
  <c r="H85" i="13"/>
  <c r="N84" i="13"/>
  <c r="I84" i="13"/>
  <c r="L84" i="13" s="1"/>
  <c r="H84" i="13"/>
  <c r="N83" i="13"/>
  <c r="I83" i="13"/>
  <c r="J83" i="13" s="1"/>
  <c r="H83" i="13"/>
  <c r="N82" i="13"/>
  <c r="I82" i="13"/>
  <c r="H82" i="13"/>
  <c r="M82" i="13" s="1"/>
  <c r="N81" i="13"/>
  <c r="I81" i="13"/>
  <c r="H81" i="13"/>
  <c r="M81" i="13" s="1"/>
  <c r="N80" i="13"/>
  <c r="I80" i="13"/>
  <c r="H80" i="13"/>
  <c r="N78" i="13"/>
  <c r="I78" i="13"/>
  <c r="J78" i="13" s="1"/>
  <c r="H78" i="13"/>
  <c r="N77" i="13"/>
  <c r="I77" i="13"/>
  <c r="H77" i="13"/>
  <c r="M77" i="13" s="1"/>
  <c r="N76" i="13"/>
  <c r="I76" i="13"/>
  <c r="H76" i="13"/>
  <c r="K76" i="13" s="1"/>
  <c r="N75" i="13"/>
  <c r="I75" i="13"/>
  <c r="L75" i="13" s="1"/>
  <c r="H75" i="13"/>
  <c r="N74" i="13"/>
  <c r="I74" i="13"/>
  <c r="J74" i="13" s="1"/>
  <c r="H74" i="13"/>
  <c r="N73" i="13"/>
  <c r="I73" i="13"/>
  <c r="L73" i="13" s="1"/>
  <c r="H73" i="13"/>
  <c r="M73" i="13" s="1"/>
  <c r="N72" i="13"/>
  <c r="I72" i="13"/>
  <c r="H72" i="13"/>
  <c r="N71" i="13"/>
  <c r="I71" i="13"/>
  <c r="L71" i="13" s="1"/>
  <c r="H71" i="13"/>
  <c r="N70" i="13"/>
  <c r="I70" i="13"/>
  <c r="H70" i="13"/>
  <c r="N69" i="13"/>
  <c r="I69" i="13"/>
  <c r="H69" i="13"/>
  <c r="N68" i="13"/>
  <c r="I68" i="13"/>
  <c r="H68" i="13"/>
  <c r="N67" i="13"/>
  <c r="I67" i="13"/>
  <c r="H67" i="13"/>
  <c r="N66" i="13"/>
  <c r="I66" i="13"/>
  <c r="H66" i="13"/>
  <c r="M66" i="13" s="1"/>
  <c r="N65" i="13"/>
  <c r="I65" i="13"/>
  <c r="L65" i="13" s="1"/>
  <c r="H65" i="13"/>
  <c r="N64" i="13"/>
  <c r="I64" i="13"/>
  <c r="H64" i="13"/>
  <c r="N63" i="13"/>
  <c r="I63" i="13"/>
  <c r="H63" i="13"/>
  <c r="N62" i="13"/>
  <c r="I62" i="13"/>
  <c r="H62" i="13"/>
  <c r="N61" i="13"/>
  <c r="I61" i="13"/>
  <c r="H61" i="13"/>
  <c r="N60" i="13"/>
  <c r="I60" i="13"/>
  <c r="J60" i="13" s="1"/>
  <c r="H60" i="13"/>
  <c r="M60" i="13" s="1"/>
  <c r="N59" i="13"/>
  <c r="I59" i="13"/>
  <c r="J59" i="13" s="1"/>
  <c r="H59" i="13"/>
  <c r="N58" i="13"/>
  <c r="I58" i="13"/>
  <c r="H58" i="13"/>
  <c r="M58" i="13" s="1"/>
  <c r="N57" i="13"/>
  <c r="I57" i="13"/>
  <c r="L57" i="13" s="1"/>
  <c r="H57" i="13"/>
  <c r="K57" i="13" s="1"/>
  <c r="N56" i="13"/>
  <c r="I56" i="13"/>
  <c r="H56" i="13"/>
  <c r="K56" i="13" s="1"/>
  <c r="N55" i="13"/>
  <c r="I55" i="13"/>
  <c r="H55" i="13"/>
  <c r="N54" i="13"/>
  <c r="I54" i="13"/>
  <c r="H54" i="13"/>
  <c r="N53" i="13"/>
  <c r="I53" i="13"/>
  <c r="L53" i="13" s="1"/>
  <c r="H53" i="13"/>
  <c r="N52" i="13"/>
  <c r="I52" i="13"/>
  <c r="J52" i="13" s="1"/>
  <c r="H52" i="13"/>
  <c r="K52" i="13" s="1"/>
  <c r="N51" i="13"/>
  <c r="I51" i="13"/>
  <c r="H51" i="13"/>
  <c r="N50" i="13"/>
  <c r="I50" i="13"/>
  <c r="L50" i="13" s="1"/>
  <c r="H50" i="13"/>
  <c r="N49" i="13"/>
  <c r="I49" i="13"/>
  <c r="L49" i="13" s="1"/>
  <c r="H49" i="13"/>
  <c r="N48" i="13"/>
  <c r="I48" i="13"/>
  <c r="J48" i="13" s="1"/>
  <c r="H48" i="13"/>
  <c r="K48" i="13" s="1"/>
  <c r="N47" i="13"/>
  <c r="I47" i="13"/>
  <c r="J47" i="13" s="1"/>
  <c r="H47" i="13"/>
  <c r="N46" i="13"/>
  <c r="I46" i="13"/>
  <c r="H46" i="13"/>
  <c r="N45" i="13"/>
  <c r="I45" i="13"/>
  <c r="L45" i="13" s="1"/>
  <c r="H45" i="13"/>
  <c r="N44" i="13"/>
  <c r="I44" i="13"/>
  <c r="H44" i="13"/>
  <c r="K44" i="13" s="1"/>
  <c r="N43" i="13"/>
  <c r="I43" i="13"/>
  <c r="J43" i="13" s="1"/>
  <c r="H43" i="13"/>
  <c r="M43" i="13" s="1"/>
  <c r="N42" i="13"/>
  <c r="I42" i="13"/>
  <c r="H42" i="13"/>
  <c r="K42" i="13" s="1"/>
  <c r="N41" i="13"/>
  <c r="I41" i="13"/>
  <c r="L41" i="13" s="1"/>
  <c r="H41" i="13"/>
  <c r="N40" i="13"/>
  <c r="I40" i="13"/>
  <c r="J40" i="13" s="1"/>
  <c r="H40" i="13"/>
  <c r="K40" i="13" s="1"/>
  <c r="N39" i="13"/>
  <c r="I39" i="13"/>
  <c r="H39" i="13"/>
  <c r="N38" i="13"/>
  <c r="I38" i="13"/>
  <c r="L38" i="13" s="1"/>
  <c r="H38" i="13"/>
  <c r="N37" i="13"/>
  <c r="I37" i="13"/>
  <c r="L37" i="13" s="1"/>
  <c r="H37" i="13"/>
  <c r="N36" i="13"/>
  <c r="I36" i="13"/>
  <c r="J36" i="13" s="1"/>
  <c r="H36" i="13"/>
  <c r="K36" i="13" s="1"/>
  <c r="N35" i="13"/>
  <c r="I35" i="13"/>
  <c r="H35" i="13"/>
  <c r="M35" i="13" s="1"/>
  <c r="N34" i="13"/>
  <c r="I34" i="13"/>
  <c r="H34" i="13"/>
  <c r="K34" i="13" s="1"/>
  <c r="N33" i="13"/>
  <c r="I33" i="13"/>
  <c r="L33" i="13" s="1"/>
  <c r="H33" i="13"/>
  <c r="N32" i="13"/>
  <c r="I32" i="13"/>
  <c r="J32" i="13" s="1"/>
  <c r="H32" i="13"/>
  <c r="K32" i="13" s="1"/>
  <c r="N31" i="13"/>
  <c r="I31" i="13"/>
  <c r="H31" i="13"/>
  <c r="N30" i="13"/>
  <c r="I30" i="13"/>
  <c r="H30" i="13"/>
  <c r="N29" i="13"/>
  <c r="I29" i="13"/>
  <c r="L29" i="13" s="1"/>
  <c r="H29" i="13"/>
  <c r="N28" i="13"/>
  <c r="I28" i="13"/>
  <c r="J28" i="13" s="1"/>
  <c r="H28" i="13"/>
  <c r="K28" i="13" s="1"/>
  <c r="N27" i="13"/>
  <c r="I27" i="13"/>
  <c r="J27" i="13" s="1"/>
  <c r="H27" i="13"/>
  <c r="N26" i="13"/>
  <c r="I26" i="13"/>
  <c r="H26" i="13"/>
  <c r="N25" i="13"/>
  <c r="I25" i="13"/>
  <c r="L25" i="13" s="1"/>
  <c r="H25" i="13"/>
  <c r="N24" i="13"/>
  <c r="I24" i="13"/>
  <c r="H24" i="13"/>
  <c r="K24" i="13" s="1"/>
  <c r="N23" i="13"/>
  <c r="I23" i="13"/>
  <c r="H23" i="13"/>
  <c r="M23" i="13" s="1"/>
  <c r="N22" i="13"/>
  <c r="I22" i="13"/>
  <c r="L22" i="13" s="1"/>
  <c r="H22" i="13"/>
  <c r="K22" i="13" s="1"/>
  <c r="N21" i="13"/>
  <c r="I21" i="13"/>
  <c r="L21" i="13" s="1"/>
  <c r="H21" i="13"/>
  <c r="N20" i="13"/>
  <c r="I20" i="13"/>
  <c r="J20" i="13" s="1"/>
  <c r="H20" i="13"/>
  <c r="K20" i="13" s="1"/>
  <c r="N19" i="13"/>
  <c r="I19" i="13"/>
  <c r="H19" i="13"/>
  <c r="N18" i="13"/>
  <c r="I18" i="13"/>
  <c r="L18" i="13" s="1"/>
  <c r="H18" i="13"/>
  <c r="M18" i="13" s="1"/>
  <c r="N17" i="13"/>
  <c r="I17" i="13"/>
  <c r="L17" i="13" s="1"/>
  <c r="H17" i="13"/>
  <c r="K17" i="13" s="1"/>
  <c r="N16" i="13"/>
  <c r="I16" i="13"/>
  <c r="J16" i="13" s="1"/>
  <c r="H16" i="13"/>
  <c r="K16" i="13" s="1"/>
  <c r="N15" i="13"/>
  <c r="I15" i="13"/>
  <c r="J15" i="13" s="1"/>
  <c r="H15" i="13"/>
  <c r="N14" i="13"/>
  <c r="I14" i="13"/>
  <c r="L14" i="13" s="1"/>
  <c r="H14" i="13"/>
  <c r="N13" i="13"/>
  <c r="I13" i="13"/>
  <c r="L13" i="13" s="1"/>
  <c r="H13" i="13"/>
  <c r="N12" i="13"/>
  <c r="I12" i="13"/>
  <c r="J12" i="13" s="1"/>
  <c r="H12" i="13"/>
  <c r="K12" i="13" s="1"/>
  <c r="N11" i="13"/>
  <c r="I11" i="13"/>
  <c r="H11" i="13"/>
  <c r="N10" i="13"/>
  <c r="I10" i="13"/>
  <c r="L10" i="13" s="1"/>
  <c r="H10" i="13"/>
  <c r="N9" i="13"/>
  <c r="I9" i="13"/>
  <c r="L9" i="13" s="1"/>
  <c r="H9" i="13"/>
  <c r="N8" i="13"/>
  <c r="I8" i="13"/>
  <c r="H8" i="13"/>
  <c r="K8" i="13" s="1"/>
  <c r="N7" i="13"/>
  <c r="I7" i="13"/>
  <c r="H7" i="13"/>
  <c r="N6" i="13"/>
  <c r="I6" i="13"/>
  <c r="H6" i="13"/>
  <c r="M6" i="13" s="1"/>
  <c r="N5" i="13"/>
  <c r="I5" i="13"/>
  <c r="L5" i="13" s="1"/>
  <c r="H5" i="13"/>
  <c r="K5" i="13" s="1"/>
  <c r="N4" i="13"/>
  <c r="I4" i="13"/>
  <c r="H4" i="13"/>
  <c r="K4" i="13" s="1"/>
  <c r="N3" i="13"/>
  <c r="I3" i="13"/>
  <c r="H3" i="13"/>
  <c r="N2" i="13"/>
  <c r="I2" i="13"/>
  <c r="H2" i="13"/>
  <c r="N144" i="15"/>
  <c r="I144" i="15"/>
  <c r="M144" i="15"/>
  <c r="N143" i="15"/>
  <c r="I143" i="15"/>
  <c r="L143" i="15" s="1"/>
  <c r="N142" i="15"/>
  <c r="I142" i="15"/>
  <c r="K142" i="15"/>
  <c r="N141" i="15"/>
  <c r="I141" i="15"/>
  <c r="L141" i="15" s="1"/>
  <c r="M141" i="15"/>
  <c r="N140" i="15"/>
  <c r="I140" i="15"/>
  <c r="K140" i="15"/>
  <c r="N139" i="15"/>
  <c r="I139" i="15"/>
  <c r="L139" i="15" s="1"/>
  <c r="K139" i="15"/>
  <c r="N138" i="15"/>
  <c r="I138" i="15"/>
  <c r="K138" i="15"/>
  <c r="N137" i="15"/>
  <c r="I137" i="15"/>
  <c r="L137" i="15" s="1"/>
  <c r="N136" i="15"/>
  <c r="I136" i="15"/>
  <c r="L136" i="15" s="1"/>
  <c r="M136" i="15"/>
  <c r="N135" i="15"/>
  <c r="I135" i="15"/>
  <c r="L135" i="15" s="1"/>
  <c r="N134" i="15"/>
  <c r="I134" i="15"/>
  <c r="K134" i="15"/>
  <c r="N133" i="15"/>
  <c r="I133" i="15"/>
  <c r="J133" i="15" s="1"/>
  <c r="M133" i="15"/>
  <c r="N132" i="15"/>
  <c r="I132" i="15"/>
  <c r="L132" i="15" s="1"/>
  <c r="M132" i="15"/>
  <c r="N131" i="15"/>
  <c r="I131" i="15"/>
  <c r="L131" i="15" s="1"/>
  <c r="N130" i="15"/>
  <c r="I130" i="15"/>
  <c r="K130" i="15"/>
  <c r="N129" i="15"/>
  <c r="I129" i="15"/>
  <c r="J129" i="15" s="1"/>
  <c r="N128" i="15"/>
  <c r="I128" i="15"/>
  <c r="M128" i="15"/>
  <c r="N127" i="15"/>
  <c r="I127" i="15"/>
  <c r="L127" i="15" s="1"/>
  <c r="K127" i="15"/>
  <c r="N126" i="15"/>
  <c r="I126" i="15"/>
  <c r="K126" i="15"/>
  <c r="N125" i="15"/>
  <c r="I125" i="15"/>
  <c r="L125" i="15" s="1"/>
  <c r="M125" i="15"/>
  <c r="N124" i="15"/>
  <c r="I124" i="15"/>
  <c r="L124" i="15" s="1"/>
  <c r="K124" i="15"/>
  <c r="N123" i="15"/>
  <c r="I123" i="15"/>
  <c r="L123" i="15" s="1"/>
  <c r="K123" i="15"/>
  <c r="N122" i="15"/>
  <c r="I122" i="15"/>
  <c r="K122" i="15"/>
  <c r="N121" i="15"/>
  <c r="I121" i="15"/>
  <c r="L121" i="15" s="1"/>
  <c r="N120" i="15"/>
  <c r="I120" i="15"/>
  <c r="L120" i="15" s="1"/>
  <c r="M120" i="15"/>
  <c r="N119" i="15"/>
  <c r="I119" i="15"/>
  <c r="L119" i="15" s="1"/>
  <c r="N118" i="15"/>
  <c r="I118" i="15"/>
  <c r="J118" i="15" s="1"/>
  <c r="K118" i="15"/>
  <c r="N117" i="15"/>
  <c r="I117" i="15"/>
  <c r="N116" i="15"/>
  <c r="I116" i="15"/>
  <c r="M116" i="15"/>
  <c r="N115" i="15"/>
  <c r="I115" i="15"/>
  <c r="L115" i="15" s="1"/>
  <c r="K115" i="15"/>
  <c r="N114" i="15"/>
  <c r="I114" i="15"/>
  <c r="K114" i="15"/>
  <c r="N113" i="15"/>
  <c r="I113" i="15"/>
  <c r="N112" i="15"/>
  <c r="I112" i="15"/>
  <c r="M112" i="15"/>
  <c r="N111" i="15"/>
  <c r="I111" i="15"/>
  <c r="L111" i="15" s="1"/>
  <c r="M111" i="15"/>
  <c r="N110" i="15"/>
  <c r="I110" i="15"/>
  <c r="K110" i="15"/>
  <c r="N108" i="15"/>
  <c r="I108" i="15"/>
  <c r="N107" i="15"/>
  <c r="I107" i="15"/>
  <c r="L107" i="15" s="1"/>
  <c r="K107" i="15"/>
  <c r="N106" i="15"/>
  <c r="I106" i="15"/>
  <c r="L106" i="15" s="1"/>
  <c r="M106" i="15"/>
  <c r="N105" i="15"/>
  <c r="I105" i="15"/>
  <c r="L105" i="15" s="1"/>
  <c r="K105" i="15"/>
  <c r="N104" i="15"/>
  <c r="I104" i="15"/>
  <c r="N103" i="15"/>
  <c r="I103" i="15"/>
  <c r="J103" i="15" s="1"/>
  <c r="N102" i="15"/>
  <c r="I102" i="15"/>
  <c r="L102" i="15" s="1"/>
  <c r="M102" i="15"/>
  <c r="N101" i="15"/>
  <c r="I101" i="15"/>
  <c r="K101" i="15"/>
  <c r="N100" i="15"/>
  <c r="I100" i="15"/>
  <c r="L100" i="15" s="1"/>
  <c r="K100" i="15"/>
  <c r="N99" i="15"/>
  <c r="I99" i="15"/>
  <c r="L99" i="15" s="1"/>
  <c r="K99" i="15"/>
  <c r="N98" i="15"/>
  <c r="I98" i="15"/>
  <c r="L98" i="15" s="1"/>
  <c r="M98" i="15"/>
  <c r="N97" i="15"/>
  <c r="I97" i="15"/>
  <c r="L97" i="15" s="1"/>
  <c r="K97" i="15"/>
  <c r="N96" i="15"/>
  <c r="I96" i="15"/>
  <c r="L96" i="15" s="1"/>
  <c r="M96" i="15"/>
  <c r="N95" i="15"/>
  <c r="I95" i="15"/>
  <c r="L95" i="15" s="1"/>
  <c r="K95" i="15"/>
  <c r="N94" i="15"/>
  <c r="I94" i="15"/>
  <c r="L94" i="15" s="1"/>
  <c r="M94" i="15"/>
  <c r="N93" i="15"/>
  <c r="I93" i="15"/>
  <c r="L93" i="15" s="1"/>
  <c r="K93" i="15"/>
  <c r="N92" i="15"/>
  <c r="I92" i="15"/>
  <c r="N91" i="15"/>
  <c r="I91" i="15"/>
  <c r="L91" i="15" s="1"/>
  <c r="K91" i="15"/>
  <c r="N90" i="15"/>
  <c r="I90" i="15"/>
  <c r="L90" i="15" s="1"/>
  <c r="K90" i="15"/>
  <c r="N89" i="15"/>
  <c r="I89" i="15"/>
  <c r="L89" i="15" s="1"/>
  <c r="K89" i="15"/>
  <c r="N88" i="15"/>
  <c r="I88" i="15"/>
  <c r="N87" i="15"/>
  <c r="I87" i="15"/>
  <c r="L87" i="15" s="1"/>
  <c r="N86" i="15"/>
  <c r="I86" i="15"/>
  <c r="L86" i="15" s="1"/>
  <c r="N85" i="15"/>
  <c r="I85" i="15"/>
  <c r="L85" i="15" s="1"/>
  <c r="K85" i="15"/>
  <c r="N84" i="15"/>
  <c r="I84" i="15"/>
  <c r="K84" i="15"/>
  <c r="N83" i="15"/>
  <c r="I83" i="15"/>
  <c r="N82" i="15"/>
  <c r="I82" i="15"/>
  <c r="L82" i="15" s="1"/>
  <c r="M82" i="15"/>
  <c r="N81" i="15"/>
  <c r="I81" i="15"/>
  <c r="L81" i="15" s="1"/>
  <c r="K81" i="15"/>
  <c r="N80" i="15"/>
  <c r="I80" i="15"/>
  <c r="L80" i="15" s="1"/>
  <c r="M80" i="15"/>
  <c r="N78" i="15"/>
  <c r="I78" i="15"/>
  <c r="K78" i="15"/>
  <c r="N77" i="15"/>
  <c r="I77" i="15"/>
  <c r="L77" i="15" s="1"/>
  <c r="K77" i="15"/>
  <c r="N76" i="15"/>
  <c r="I76" i="15"/>
  <c r="L76" i="15" s="1"/>
  <c r="N75" i="15"/>
  <c r="I75" i="15"/>
  <c r="L75" i="15" s="1"/>
  <c r="N74" i="15"/>
  <c r="I74" i="15"/>
  <c r="N73" i="15"/>
  <c r="I73" i="15"/>
  <c r="N72" i="15"/>
  <c r="I72" i="15"/>
  <c r="M72" i="15"/>
  <c r="N71" i="15"/>
  <c r="I71" i="15"/>
  <c r="M71" i="15"/>
  <c r="N70" i="15"/>
  <c r="I70" i="15"/>
  <c r="L70" i="15" s="1"/>
  <c r="K70" i="15"/>
  <c r="N69" i="15"/>
  <c r="I69" i="15"/>
  <c r="N68" i="15"/>
  <c r="I68" i="15"/>
  <c r="M68" i="15"/>
  <c r="N67" i="15"/>
  <c r="I67" i="15"/>
  <c r="L67" i="15" s="1"/>
  <c r="M67" i="15"/>
  <c r="N66" i="15"/>
  <c r="I66" i="15"/>
  <c r="L66" i="15" s="1"/>
  <c r="K66" i="15"/>
  <c r="N65" i="15"/>
  <c r="I65" i="15"/>
  <c r="N64" i="15"/>
  <c r="I64" i="15"/>
  <c r="M64" i="15"/>
  <c r="N63" i="15"/>
  <c r="I63" i="15"/>
  <c r="L63" i="15" s="1"/>
  <c r="N62" i="15"/>
  <c r="I62" i="15"/>
  <c r="L62" i="15" s="1"/>
  <c r="K62" i="15"/>
  <c r="N61" i="15"/>
  <c r="I61" i="15"/>
  <c r="J61" i="15" s="1"/>
  <c r="N60" i="15"/>
  <c r="I60" i="15"/>
  <c r="L60" i="15" s="1"/>
  <c r="M60" i="15"/>
  <c r="N59" i="15"/>
  <c r="I59" i="15"/>
  <c r="N58" i="15"/>
  <c r="I58" i="15"/>
  <c r="N57" i="15"/>
  <c r="I57" i="15"/>
  <c r="L57" i="15" s="1"/>
  <c r="N56" i="15"/>
  <c r="I56" i="15"/>
  <c r="L56" i="15" s="1"/>
  <c r="K56" i="15"/>
  <c r="N55" i="15"/>
  <c r="I55" i="15"/>
  <c r="N54" i="15"/>
  <c r="I54" i="15"/>
  <c r="L54" i="15" s="1"/>
  <c r="N53" i="15"/>
  <c r="I53" i="15"/>
  <c r="L53" i="15" s="1"/>
  <c r="N52" i="15"/>
  <c r="I52" i="15"/>
  <c r="J52" i="15" s="1"/>
  <c r="K52" i="15"/>
  <c r="N51" i="15"/>
  <c r="I51" i="15"/>
  <c r="N50" i="15"/>
  <c r="I50" i="15"/>
  <c r="N49" i="15"/>
  <c r="I49" i="15"/>
  <c r="L49" i="15" s="1"/>
  <c r="N48" i="15"/>
  <c r="I48" i="15"/>
  <c r="K48" i="15"/>
  <c r="N47" i="15"/>
  <c r="I47" i="15"/>
  <c r="M47" i="15"/>
  <c r="N46" i="15"/>
  <c r="I46" i="15"/>
  <c r="L46" i="15" s="1"/>
  <c r="K46" i="15"/>
  <c r="N45" i="15"/>
  <c r="I45" i="15"/>
  <c r="L45" i="15" s="1"/>
  <c r="K45" i="15"/>
  <c r="N44" i="15"/>
  <c r="I44" i="15"/>
  <c r="K44" i="15"/>
  <c r="N43" i="15"/>
  <c r="I43" i="15"/>
  <c r="M43" i="15"/>
  <c r="N42" i="15"/>
  <c r="I42" i="15"/>
  <c r="K42" i="15"/>
  <c r="N41" i="15"/>
  <c r="I41" i="15"/>
  <c r="L41" i="15" s="1"/>
  <c r="K41" i="15"/>
  <c r="N40" i="15"/>
  <c r="I40" i="15"/>
  <c r="K40" i="15"/>
  <c r="N39" i="15"/>
  <c r="I39" i="15"/>
  <c r="N38" i="15"/>
  <c r="I38" i="15"/>
  <c r="L38" i="15" s="1"/>
  <c r="N37" i="15"/>
  <c r="I37" i="15"/>
  <c r="L37" i="15" s="1"/>
  <c r="N36" i="15"/>
  <c r="I36" i="15"/>
  <c r="L36" i="15" s="1"/>
  <c r="K36" i="15"/>
  <c r="N35" i="15"/>
  <c r="I35" i="15"/>
  <c r="M35" i="15"/>
  <c r="N34" i="15"/>
  <c r="I34" i="15"/>
  <c r="K34" i="15"/>
  <c r="N33" i="15"/>
  <c r="I33" i="15"/>
  <c r="L33" i="15" s="1"/>
  <c r="K33" i="15"/>
  <c r="N32" i="15"/>
  <c r="I32" i="15"/>
  <c r="L32" i="15" s="1"/>
  <c r="K32" i="15"/>
  <c r="N31" i="15"/>
  <c r="I31" i="15"/>
  <c r="N30" i="15"/>
  <c r="I30" i="15"/>
  <c r="L30" i="15" s="1"/>
  <c r="N29" i="15"/>
  <c r="I29" i="15"/>
  <c r="L29" i="15" s="1"/>
  <c r="N28" i="15"/>
  <c r="I28" i="15"/>
  <c r="K28" i="15"/>
  <c r="N27" i="15"/>
  <c r="I27" i="15"/>
  <c r="K27" i="15"/>
  <c r="N26" i="15"/>
  <c r="I26" i="15"/>
  <c r="L26" i="15" s="1"/>
  <c r="N25" i="15"/>
  <c r="I25" i="15"/>
  <c r="L25" i="15" s="1"/>
  <c r="N24" i="15"/>
  <c r="I24" i="15"/>
  <c r="J24" i="15" s="1"/>
  <c r="K24" i="15"/>
  <c r="N23" i="15"/>
  <c r="I23" i="15"/>
  <c r="N22" i="15"/>
  <c r="I22" i="15"/>
  <c r="N21" i="15"/>
  <c r="I21" i="15"/>
  <c r="L21" i="15" s="1"/>
  <c r="N20" i="15"/>
  <c r="I20" i="15"/>
  <c r="K20" i="15"/>
  <c r="N19" i="15"/>
  <c r="I19" i="15"/>
  <c r="N18" i="15"/>
  <c r="I18" i="15"/>
  <c r="N17" i="15"/>
  <c r="I17" i="15"/>
  <c r="L17" i="15" s="1"/>
  <c r="N16" i="15"/>
  <c r="I16" i="15"/>
  <c r="L16" i="15" s="1"/>
  <c r="K16" i="15"/>
  <c r="N15" i="15"/>
  <c r="I15" i="15"/>
  <c r="N14" i="15"/>
  <c r="I14" i="15"/>
  <c r="L14" i="15" s="1"/>
  <c r="N13" i="15"/>
  <c r="I13" i="15"/>
  <c r="L13" i="15" s="1"/>
  <c r="N12" i="15"/>
  <c r="I12" i="15"/>
  <c r="K12" i="15"/>
  <c r="N11" i="15"/>
  <c r="I11" i="15"/>
  <c r="N10" i="15"/>
  <c r="I10" i="15"/>
  <c r="N9" i="15"/>
  <c r="I9" i="15"/>
  <c r="L9" i="15" s="1"/>
  <c r="N8" i="15"/>
  <c r="I8" i="15"/>
  <c r="K8" i="15"/>
  <c r="N7" i="15"/>
  <c r="I7" i="15"/>
  <c r="N6" i="15"/>
  <c r="I6" i="15"/>
  <c r="L6" i="15" s="1"/>
  <c r="N5" i="15"/>
  <c r="I5" i="15"/>
  <c r="L5" i="15" s="1"/>
  <c r="N4" i="15"/>
  <c r="I4" i="15"/>
  <c r="L4" i="15" s="1"/>
  <c r="K4" i="15"/>
  <c r="N3" i="15"/>
  <c r="I3" i="15"/>
  <c r="N2" i="15"/>
  <c r="I2" i="15"/>
  <c r="N144" i="8"/>
  <c r="I144" i="8"/>
  <c r="H144" i="8"/>
  <c r="N143" i="8"/>
  <c r="I143" i="8"/>
  <c r="L143" i="8" s="1"/>
  <c r="H143" i="8"/>
  <c r="N142" i="8"/>
  <c r="I142" i="8"/>
  <c r="H142" i="8"/>
  <c r="N141" i="8"/>
  <c r="I141" i="8"/>
  <c r="H141" i="8"/>
  <c r="N140" i="8"/>
  <c r="I140" i="8"/>
  <c r="H140" i="8"/>
  <c r="N139" i="8"/>
  <c r="I139" i="8"/>
  <c r="H139" i="8"/>
  <c r="N138" i="8"/>
  <c r="I138" i="8"/>
  <c r="H138" i="8"/>
  <c r="N137" i="8"/>
  <c r="I137" i="8"/>
  <c r="H137" i="8"/>
  <c r="N136" i="8"/>
  <c r="I136" i="8"/>
  <c r="H136" i="8"/>
  <c r="N135" i="8"/>
  <c r="I135" i="8"/>
  <c r="H135" i="8"/>
  <c r="N134" i="8"/>
  <c r="I134" i="8"/>
  <c r="H134" i="8"/>
  <c r="N133" i="8"/>
  <c r="I133" i="8"/>
  <c r="J133" i="8" s="1"/>
  <c r="H133" i="8"/>
  <c r="N132" i="8"/>
  <c r="I132" i="8"/>
  <c r="H132" i="8"/>
  <c r="N131" i="8"/>
  <c r="I131" i="8"/>
  <c r="H131" i="8"/>
  <c r="N130" i="8"/>
  <c r="I130" i="8"/>
  <c r="H130" i="8"/>
  <c r="M130" i="8" s="1"/>
  <c r="N129" i="8"/>
  <c r="I129" i="8"/>
  <c r="J129" i="8" s="1"/>
  <c r="H129" i="8"/>
  <c r="N128" i="8"/>
  <c r="I128" i="8"/>
  <c r="J128" i="8" s="1"/>
  <c r="H128" i="8"/>
  <c r="N127" i="8"/>
  <c r="I127" i="8"/>
  <c r="L127" i="8" s="1"/>
  <c r="H127" i="8"/>
  <c r="N126" i="8"/>
  <c r="I126" i="8"/>
  <c r="H126" i="8"/>
  <c r="N125" i="8"/>
  <c r="I125" i="8"/>
  <c r="J125" i="8" s="1"/>
  <c r="H125" i="8"/>
  <c r="N124" i="8"/>
  <c r="I124" i="8"/>
  <c r="H124" i="8"/>
  <c r="N123" i="8"/>
  <c r="I123" i="8"/>
  <c r="L123" i="8" s="1"/>
  <c r="H123" i="8"/>
  <c r="N122" i="8"/>
  <c r="I122" i="8"/>
  <c r="H122" i="8"/>
  <c r="N121" i="8"/>
  <c r="I121" i="8"/>
  <c r="J121" i="8" s="1"/>
  <c r="H121" i="8"/>
  <c r="N120" i="8"/>
  <c r="I120" i="8"/>
  <c r="J120" i="8" s="1"/>
  <c r="H120" i="8"/>
  <c r="N119" i="8"/>
  <c r="I119" i="8"/>
  <c r="L119" i="8" s="1"/>
  <c r="H119" i="8"/>
  <c r="N118" i="8"/>
  <c r="I118" i="8"/>
  <c r="H118" i="8"/>
  <c r="M118" i="8" s="1"/>
  <c r="N117" i="8"/>
  <c r="I117" i="8"/>
  <c r="J117" i="8" s="1"/>
  <c r="H117" i="8"/>
  <c r="N116" i="8"/>
  <c r="I116" i="8"/>
  <c r="H116" i="8"/>
  <c r="N115" i="8"/>
  <c r="I115" i="8"/>
  <c r="L115" i="8" s="1"/>
  <c r="H115" i="8"/>
  <c r="N114" i="8"/>
  <c r="I114" i="8"/>
  <c r="H114" i="8"/>
  <c r="N113" i="8"/>
  <c r="I113" i="8"/>
  <c r="J113" i="8" s="1"/>
  <c r="H113" i="8"/>
  <c r="N112" i="8"/>
  <c r="I112" i="8"/>
  <c r="H112" i="8"/>
  <c r="N111" i="8"/>
  <c r="I111" i="8"/>
  <c r="H111" i="8"/>
  <c r="N110" i="8"/>
  <c r="I110" i="8"/>
  <c r="H110" i="8"/>
  <c r="N108" i="8"/>
  <c r="I108" i="8"/>
  <c r="H108" i="8"/>
  <c r="N107" i="8"/>
  <c r="I107" i="8"/>
  <c r="J107" i="8" s="1"/>
  <c r="H107" i="8"/>
  <c r="M107" i="8" s="1"/>
  <c r="N106" i="8"/>
  <c r="I106" i="8"/>
  <c r="H106" i="8"/>
  <c r="M106" i="8" s="1"/>
  <c r="N105" i="8"/>
  <c r="I105" i="8"/>
  <c r="H105" i="8"/>
  <c r="K105" i="8" s="1"/>
  <c r="N104" i="8"/>
  <c r="I104" i="8"/>
  <c r="H104" i="8"/>
  <c r="N103" i="8"/>
  <c r="I103" i="8"/>
  <c r="H103" i="8"/>
  <c r="M103" i="8" s="1"/>
  <c r="N102" i="8"/>
  <c r="I102" i="8"/>
  <c r="L102" i="8" s="1"/>
  <c r="H102" i="8"/>
  <c r="N101" i="8"/>
  <c r="I101" i="8"/>
  <c r="H101" i="8"/>
  <c r="N100" i="8"/>
  <c r="I100" i="8"/>
  <c r="J100" i="8" s="1"/>
  <c r="H100" i="8"/>
  <c r="N99" i="8"/>
  <c r="I99" i="8"/>
  <c r="H99" i="8"/>
  <c r="M99" i="8" s="1"/>
  <c r="N98" i="8"/>
  <c r="I98" i="8"/>
  <c r="L98" i="8" s="1"/>
  <c r="H98" i="8"/>
  <c r="K98" i="8" s="1"/>
  <c r="N97" i="8"/>
  <c r="I97" i="8"/>
  <c r="H97" i="8"/>
  <c r="N96" i="8"/>
  <c r="I96" i="8"/>
  <c r="H96" i="8"/>
  <c r="N95" i="8"/>
  <c r="I95" i="8"/>
  <c r="H95" i="8"/>
  <c r="N94" i="8"/>
  <c r="I94" i="8"/>
  <c r="L94" i="8" s="1"/>
  <c r="H94" i="8"/>
  <c r="M94" i="8" s="1"/>
  <c r="N93" i="8"/>
  <c r="I93" i="8"/>
  <c r="H93" i="8"/>
  <c r="K93" i="8" s="1"/>
  <c r="N92" i="8"/>
  <c r="I92" i="8"/>
  <c r="J92" i="8" s="1"/>
  <c r="H92" i="8"/>
  <c r="N91" i="8"/>
  <c r="I91" i="8"/>
  <c r="H91" i="8"/>
  <c r="N90" i="8"/>
  <c r="I90" i="8"/>
  <c r="L90" i="8" s="1"/>
  <c r="H90" i="8"/>
  <c r="M90" i="8" s="1"/>
  <c r="N89" i="8"/>
  <c r="I89" i="8"/>
  <c r="J89" i="8" s="1"/>
  <c r="H89" i="8"/>
  <c r="K89" i="8" s="1"/>
  <c r="N88" i="8"/>
  <c r="I88" i="8"/>
  <c r="J88" i="8" s="1"/>
  <c r="H88" i="8"/>
  <c r="M88" i="8" s="1"/>
  <c r="N87" i="8"/>
  <c r="I87" i="8"/>
  <c r="H87" i="8"/>
  <c r="M87" i="8" s="1"/>
  <c r="N86" i="8"/>
  <c r="I86" i="8"/>
  <c r="L86" i="8" s="1"/>
  <c r="H86" i="8"/>
  <c r="N85" i="8"/>
  <c r="I85" i="8"/>
  <c r="H85" i="8"/>
  <c r="K85" i="8" s="1"/>
  <c r="N84" i="8"/>
  <c r="I84" i="8"/>
  <c r="J84" i="8" s="1"/>
  <c r="H84" i="8"/>
  <c r="M84" i="8" s="1"/>
  <c r="N83" i="8"/>
  <c r="I83" i="8"/>
  <c r="J83" i="8" s="1"/>
  <c r="H83" i="8"/>
  <c r="N82" i="8"/>
  <c r="I82" i="8"/>
  <c r="L82" i="8" s="1"/>
  <c r="H82" i="8"/>
  <c r="N81" i="8"/>
  <c r="I81" i="8"/>
  <c r="H81" i="8"/>
  <c r="K81" i="8" s="1"/>
  <c r="N80" i="8"/>
  <c r="I80" i="8"/>
  <c r="H80" i="8"/>
  <c r="M80" i="8" s="1"/>
  <c r="N78" i="8"/>
  <c r="I78" i="8"/>
  <c r="J78" i="8" s="1"/>
  <c r="H78" i="8"/>
  <c r="N77" i="8"/>
  <c r="I77" i="8"/>
  <c r="L77" i="8" s="1"/>
  <c r="H77" i="8"/>
  <c r="N76" i="8"/>
  <c r="I76" i="8"/>
  <c r="J76" i="8" s="1"/>
  <c r="H76" i="8"/>
  <c r="K76" i="8" s="1"/>
  <c r="N75" i="8"/>
  <c r="I75" i="8"/>
  <c r="H75" i="8"/>
  <c r="N74" i="8"/>
  <c r="I74" i="8"/>
  <c r="H74" i="8"/>
  <c r="N73" i="8"/>
  <c r="I73" i="8"/>
  <c r="L73" i="8" s="1"/>
  <c r="H73" i="8"/>
  <c r="N72" i="8"/>
  <c r="I72" i="8"/>
  <c r="J72" i="8" s="1"/>
  <c r="H72" i="8"/>
  <c r="K72" i="8" s="1"/>
  <c r="N71" i="8"/>
  <c r="I71" i="8"/>
  <c r="J71" i="8" s="1"/>
  <c r="H71" i="8"/>
  <c r="M71" i="8" s="1"/>
  <c r="N70" i="8"/>
  <c r="I70" i="8"/>
  <c r="H70" i="8"/>
  <c r="M70" i="8" s="1"/>
  <c r="N69" i="8"/>
  <c r="I69" i="8"/>
  <c r="L69" i="8" s="1"/>
  <c r="H69" i="8"/>
  <c r="K69" i="8" s="1"/>
  <c r="N68" i="8"/>
  <c r="I68" i="8"/>
  <c r="J68" i="8" s="1"/>
  <c r="H68" i="8"/>
  <c r="K68" i="8" s="1"/>
  <c r="N67" i="8"/>
  <c r="I67" i="8"/>
  <c r="H67" i="8"/>
  <c r="N66" i="8"/>
  <c r="I66" i="8"/>
  <c r="H66" i="8"/>
  <c r="N65" i="8"/>
  <c r="I65" i="8"/>
  <c r="L65" i="8" s="1"/>
  <c r="H65" i="8"/>
  <c r="N64" i="8"/>
  <c r="I64" i="8"/>
  <c r="J64" i="8" s="1"/>
  <c r="H64" i="8"/>
  <c r="K64" i="8" s="1"/>
  <c r="N63" i="8"/>
  <c r="I63" i="8"/>
  <c r="H63" i="8"/>
  <c r="M63" i="8" s="1"/>
  <c r="N62" i="8"/>
  <c r="I62" i="8"/>
  <c r="H62" i="8"/>
  <c r="M62" i="8" s="1"/>
  <c r="N61" i="8"/>
  <c r="I61" i="8"/>
  <c r="L61" i="8" s="1"/>
  <c r="H61" i="8"/>
  <c r="K61" i="8" s="1"/>
  <c r="N60" i="8"/>
  <c r="I60" i="8"/>
  <c r="H60" i="8"/>
  <c r="K60" i="8" s="1"/>
  <c r="N59" i="8"/>
  <c r="I59" i="8"/>
  <c r="J59" i="8" s="1"/>
  <c r="H59" i="8"/>
  <c r="M59" i="8" s="1"/>
  <c r="N58" i="8"/>
  <c r="I58" i="8"/>
  <c r="H58" i="8"/>
  <c r="M58" i="8" s="1"/>
  <c r="N57" i="8"/>
  <c r="I57" i="8"/>
  <c r="L57" i="8" s="1"/>
  <c r="H57" i="8"/>
  <c r="K57" i="8" s="1"/>
  <c r="N56" i="8"/>
  <c r="I56" i="8"/>
  <c r="J56" i="8" s="1"/>
  <c r="H56" i="8"/>
  <c r="K56" i="8" s="1"/>
  <c r="N55" i="8"/>
  <c r="I55" i="8"/>
  <c r="H55" i="8"/>
  <c r="M55" i="8" s="1"/>
  <c r="N54" i="8"/>
  <c r="I54" i="8"/>
  <c r="L54" i="8" s="1"/>
  <c r="H54" i="8"/>
  <c r="N53" i="8"/>
  <c r="I53" i="8"/>
  <c r="L53" i="8" s="1"/>
  <c r="H53" i="8"/>
  <c r="N52" i="8"/>
  <c r="I52" i="8"/>
  <c r="J52" i="8" s="1"/>
  <c r="H52" i="8"/>
  <c r="K52" i="8" s="1"/>
  <c r="N51" i="8"/>
  <c r="I51" i="8"/>
  <c r="H51" i="8"/>
  <c r="M51" i="8" s="1"/>
  <c r="N50" i="8"/>
  <c r="I50" i="8"/>
  <c r="L50" i="8" s="1"/>
  <c r="H50" i="8"/>
  <c r="M50" i="8" s="1"/>
  <c r="N49" i="8"/>
  <c r="I49" i="8"/>
  <c r="L49" i="8" s="1"/>
  <c r="H49" i="8"/>
  <c r="K49" i="8" s="1"/>
  <c r="N48" i="8"/>
  <c r="I48" i="8"/>
  <c r="J48" i="8" s="1"/>
  <c r="H48" i="8"/>
  <c r="K48" i="8" s="1"/>
  <c r="N47" i="8"/>
  <c r="I47" i="8"/>
  <c r="L47" i="8" s="1"/>
  <c r="H47" i="8"/>
  <c r="M47" i="8" s="1"/>
  <c r="N46" i="8"/>
  <c r="I46" i="8"/>
  <c r="L46" i="8" s="1"/>
  <c r="H46" i="8"/>
  <c r="N45" i="8"/>
  <c r="I45" i="8"/>
  <c r="J45" i="8" s="1"/>
  <c r="H45" i="8"/>
  <c r="K45" i="8" s="1"/>
  <c r="N44" i="8"/>
  <c r="I44" i="8"/>
  <c r="J44" i="8" s="1"/>
  <c r="H44" i="8"/>
  <c r="N43" i="8"/>
  <c r="I43" i="8"/>
  <c r="L43" i="8" s="1"/>
  <c r="H43" i="8"/>
  <c r="M43" i="8" s="1"/>
  <c r="N42" i="8"/>
  <c r="I42" i="8"/>
  <c r="H42" i="8"/>
  <c r="M42" i="8" s="1"/>
  <c r="N41" i="8"/>
  <c r="I41" i="8"/>
  <c r="L41" i="8" s="1"/>
  <c r="H41" i="8"/>
  <c r="K41" i="8" s="1"/>
  <c r="N40" i="8"/>
  <c r="I40" i="8"/>
  <c r="J40" i="8" s="1"/>
  <c r="H40" i="8"/>
  <c r="K40" i="8" s="1"/>
  <c r="N39" i="8"/>
  <c r="I39" i="8"/>
  <c r="J39" i="8" s="1"/>
  <c r="H39" i="8"/>
  <c r="M39" i="8" s="1"/>
  <c r="N38" i="8"/>
  <c r="I38" i="8"/>
  <c r="H38" i="8"/>
  <c r="M38" i="8" s="1"/>
  <c r="N37" i="8"/>
  <c r="I37" i="8"/>
  <c r="L37" i="8" s="1"/>
  <c r="H37" i="8"/>
  <c r="M37" i="8" s="1"/>
  <c r="N36" i="8"/>
  <c r="I36" i="8"/>
  <c r="H36" i="8"/>
  <c r="K36" i="8" s="1"/>
  <c r="N35" i="8"/>
  <c r="I35" i="8"/>
  <c r="J35" i="8" s="1"/>
  <c r="H35" i="8"/>
  <c r="N34" i="8"/>
  <c r="I34" i="8"/>
  <c r="H34" i="8"/>
  <c r="M34" i="8" s="1"/>
  <c r="N33" i="8"/>
  <c r="I33" i="8"/>
  <c r="L33" i="8" s="1"/>
  <c r="H33" i="8"/>
  <c r="N32" i="8"/>
  <c r="I32" i="8"/>
  <c r="L32" i="8" s="1"/>
  <c r="H32" i="8"/>
  <c r="K32" i="8" s="1"/>
  <c r="N31" i="8"/>
  <c r="I31" i="8"/>
  <c r="J31" i="8" s="1"/>
  <c r="H31" i="8"/>
  <c r="M31" i="8" s="1"/>
  <c r="N30" i="8"/>
  <c r="I30" i="8"/>
  <c r="L30" i="8" s="1"/>
  <c r="H30" i="8"/>
  <c r="M30" i="8" s="1"/>
  <c r="N29" i="8"/>
  <c r="I29" i="8"/>
  <c r="L29" i="8" s="1"/>
  <c r="H29" i="8"/>
  <c r="N28" i="8"/>
  <c r="I28" i="8"/>
  <c r="H28" i="8"/>
  <c r="K28" i="8" s="1"/>
  <c r="N27" i="8"/>
  <c r="I27" i="8"/>
  <c r="J27" i="8" s="1"/>
  <c r="H27" i="8"/>
  <c r="N26" i="8"/>
  <c r="I26" i="8"/>
  <c r="L26" i="8" s="1"/>
  <c r="H26" i="8"/>
  <c r="M26" i="8" s="1"/>
  <c r="N25" i="8"/>
  <c r="I25" i="8"/>
  <c r="L25" i="8" s="1"/>
  <c r="H25" i="8"/>
  <c r="N24" i="8"/>
  <c r="I24" i="8"/>
  <c r="H24" i="8"/>
  <c r="K24" i="8" s="1"/>
  <c r="N23" i="8"/>
  <c r="I23" i="8"/>
  <c r="J23" i="8" s="1"/>
  <c r="H23" i="8"/>
  <c r="N22" i="8"/>
  <c r="I22" i="8"/>
  <c r="L22" i="8" s="1"/>
  <c r="H22" i="8"/>
  <c r="M22" i="8" s="1"/>
  <c r="N21" i="8"/>
  <c r="I21" i="8"/>
  <c r="L21" i="8" s="1"/>
  <c r="H21" i="8"/>
  <c r="N20" i="8"/>
  <c r="I20" i="8"/>
  <c r="H20" i="8"/>
  <c r="K20" i="8" s="1"/>
  <c r="N19" i="8"/>
  <c r="I19" i="8"/>
  <c r="J19" i="8" s="1"/>
  <c r="H19" i="8"/>
  <c r="M19" i="8" s="1"/>
  <c r="N18" i="8"/>
  <c r="I18" i="8"/>
  <c r="H18" i="8"/>
  <c r="M18" i="8" s="1"/>
  <c r="N17" i="8"/>
  <c r="I17" i="8"/>
  <c r="L17" i="8" s="1"/>
  <c r="H17" i="8"/>
  <c r="N16" i="8"/>
  <c r="I16" i="8"/>
  <c r="H16" i="8"/>
  <c r="K16" i="8" s="1"/>
  <c r="N15" i="8"/>
  <c r="I15" i="8"/>
  <c r="J15" i="8" s="1"/>
  <c r="H15" i="8"/>
  <c r="N14" i="8"/>
  <c r="I14" i="8"/>
  <c r="H14" i="8"/>
  <c r="M14" i="8" s="1"/>
  <c r="N13" i="8"/>
  <c r="I13" i="8"/>
  <c r="L13" i="8" s="1"/>
  <c r="H13" i="8"/>
  <c r="M13" i="8" s="1"/>
  <c r="N12" i="8"/>
  <c r="I12" i="8"/>
  <c r="H12" i="8"/>
  <c r="K12" i="8" s="1"/>
  <c r="N11" i="8"/>
  <c r="I11" i="8"/>
  <c r="J11" i="8" s="1"/>
  <c r="H11" i="8"/>
  <c r="M11" i="8" s="1"/>
  <c r="N10" i="8"/>
  <c r="I10" i="8"/>
  <c r="H10" i="8"/>
  <c r="M10" i="8" s="1"/>
  <c r="N9" i="8"/>
  <c r="I9" i="8"/>
  <c r="L9" i="8" s="1"/>
  <c r="H9" i="8"/>
  <c r="N8" i="8"/>
  <c r="I8" i="8"/>
  <c r="H8" i="8"/>
  <c r="K8" i="8" s="1"/>
  <c r="N7" i="8"/>
  <c r="I7" i="8"/>
  <c r="J7" i="8" s="1"/>
  <c r="H7" i="8"/>
  <c r="N6" i="8"/>
  <c r="I6" i="8"/>
  <c r="L6" i="8" s="1"/>
  <c r="H6" i="8"/>
  <c r="M6" i="8" s="1"/>
  <c r="N5" i="8"/>
  <c r="I5" i="8"/>
  <c r="L5" i="8" s="1"/>
  <c r="H5" i="8"/>
  <c r="N4" i="8"/>
  <c r="I4" i="8"/>
  <c r="H4" i="8"/>
  <c r="K4" i="8" s="1"/>
  <c r="N3" i="8"/>
  <c r="I3" i="8"/>
  <c r="J3" i="8" s="1"/>
  <c r="H3" i="8"/>
  <c r="N2" i="8"/>
  <c r="I2" i="8"/>
  <c r="J2" i="8" s="1"/>
  <c r="H2" i="8"/>
  <c r="M2" i="8" s="1"/>
  <c r="N144" i="9"/>
  <c r="I144" i="9"/>
  <c r="J144" i="9" s="1"/>
  <c r="H144" i="9"/>
  <c r="N143" i="9"/>
  <c r="I143" i="9"/>
  <c r="H143" i="9"/>
  <c r="M143" i="9" s="1"/>
  <c r="N142" i="9"/>
  <c r="I142" i="9"/>
  <c r="H142" i="9"/>
  <c r="M142" i="9" s="1"/>
  <c r="N141" i="9"/>
  <c r="I141" i="9"/>
  <c r="H141" i="9"/>
  <c r="N140" i="9"/>
  <c r="I140" i="9"/>
  <c r="J140" i="9" s="1"/>
  <c r="H140" i="9"/>
  <c r="N139" i="9"/>
  <c r="I139" i="9"/>
  <c r="H139" i="9"/>
  <c r="M139" i="9" s="1"/>
  <c r="N138" i="9"/>
  <c r="I138" i="9"/>
  <c r="H138" i="9"/>
  <c r="N137" i="9"/>
  <c r="I137" i="9"/>
  <c r="J137" i="9" s="1"/>
  <c r="H137" i="9"/>
  <c r="N136" i="9"/>
  <c r="I136" i="9"/>
  <c r="J136" i="9" s="1"/>
  <c r="H136" i="9"/>
  <c r="M136" i="9" s="1"/>
  <c r="N135" i="9"/>
  <c r="I135" i="9"/>
  <c r="H135" i="9"/>
  <c r="M135" i="9" s="1"/>
  <c r="N134" i="9"/>
  <c r="I134" i="9"/>
  <c r="H134" i="9"/>
  <c r="N133" i="9"/>
  <c r="I133" i="9"/>
  <c r="L133" i="9" s="1"/>
  <c r="H133" i="9"/>
  <c r="N132" i="9"/>
  <c r="I132" i="9"/>
  <c r="J132" i="9" s="1"/>
  <c r="H132" i="9"/>
  <c r="M132" i="9" s="1"/>
  <c r="N131" i="9"/>
  <c r="I131" i="9"/>
  <c r="H131" i="9"/>
  <c r="M131" i="9" s="1"/>
  <c r="N130" i="9"/>
  <c r="I130" i="9"/>
  <c r="H130" i="9"/>
  <c r="M130" i="9" s="1"/>
  <c r="N129" i="9"/>
  <c r="I129" i="9"/>
  <c r="L129" i="9" s="1"/>
  <c r="H129" i="9"/>
  <c r="N128" i="9"/>
  <c r="I128" i="9"/>
  <c r="J128" i="9" s="1"/>
  <c r="H128" i="9"/>
  <c r="N127" i="9"/>
  <c r="I127" i="9"/>
  <c r="H127" i="9"/>
  <c r="M127" i="9" s="1"/>
  <c r="N126" i="9"/>
  <c r="I126" i="9"/>
  <c r="H126" i="9"/>
  <c r="N125" i="9"/>
  <c r="I125" i="9"/>
  <c r="H125" i="9"/>
  <c r="N124" i="9"/>
  <c r="I124" i="9"/>
  <c r="J124" i="9" s="1"/>
  <c r="H124" i="9"/>
  <c r="N123" i="9"/>
  <c r="I123" i="9"/>
  <c r="H123" i="9"/>
  <c r="M123" i="9" s="1"/>
  <c r="N122" i="9"/>
  <c r="I122" i="9"/>
  <c r="H122" i="9"/>
  <c r="N121" i="9"/>
  <c r="I121" i="9"/>
  <c r="H121" i="9"/>
  <c r="N120" i="9"/>
  <c r="I120" i="9"/>
  <c r="J120" i="9" s="1"/>
  <c r="H120" i="9"/>
  <c r="M120" i="9" s="1"/>
  <c r="N119" i="9"/>
  <c r="I119" i="9"/>
  <c r="H119" i="9"/>
  <c r="M119" i="9" s="1"/>
  <c r="N118" i="9"/>
  <c r="I118" i="9"/>
  <c r="H118" i="9"/>
  <c r="N117" i="9"/>
  <c r="I117" i="9"/>
  <c r="L117" i="9" s="1"/>
  <c r="H117" i="9"/>
  <c r="N116" i="9"/>
  <c r="I116" i="9"/>
  <c r="J116" i="9" s="1"/>
  <c r="H116" i="9"/>
  <c r="N115" i="9"/>
  <c r="I115" i="9"/>
  <c r="H115" i="9"/>
  <c r="M115" i="9" s="1"/>
  <c r="N114" i="9"/>
  <c r="I114" i="9"/>
  <c r="H114" i="9"/>
  <c r="N113" i="9"/>
  <c r="I113" i="9"/>
  <c r="J113" i="9" s="1"/>
  <c r="H113" i="9"/>
  <c r="N112" i="9"/>
  <c r="I112" i="9"/>
  <c r="J112" i="9" s="1"/>
  <c r="H112" i="9"/>
  <c r="N111" i="9"/>
  <c r="I111" i="9"/>
  <c r="H111" i="9"/>
  <c r="M111" i="9" s="1"/>
  <c r="N110" i="9"/>
  <c r="I110" i="9"/>
  <c r="H110" i="9"/>
  <c r="N108" i="9"/>
  <c r="I108" i="9"/>
  <c r="H108" i="9"/>
  <c r="N107" i="9"/>
  <c r="I107" i="9"/>
  <c r="J107" i="9" s="1"/>
  <c r="H107" i="9"/>
  <c r="N106" i="9"/>
  <c r="I106" i="9"/>
  <c r="H106" i="9"/>
  <c r="M106" i="9" s="1"/>
  <c r="N105" i="9"/>
  <c r="I105" i="9"/>
  <c r="H105" i="9"/>
  <c r="N104" i="9"/>
  <c r="I104" i="9"/>
  <c r="L104" i="9" s="1"/>
  <c r="H104" i="9"/>
  <c r="N103" i="9"/>
  <c r="I103" i="9"/>
  <c r="J103" i="9" s="1"/>
  <c r="H103" i="9"/>
  <c r="N102" i="9"/>
  <c r="I102" i="9"/>
  <c r="H102" i="9"/>
  <c r="M102" i="9" s="1"/>
  <c r="N101" i="9"/>
  <c r="I101" i="9"/>
  <c r="H101" i="9"/>
  <c r="N100" i="9"/>
  <c r="I100" i="9"/>
  <c r="L100" i="9" s="1"/>
  <c r="H100" i="9"/>
  <c r="N99" i="9"/>
  <c r="I99" i="9"/>
  <c r="J99" i="9" s="1"/>
  <c r="H99" i="9"/>
  <c r="M99" i="9" s="1"/>
  <c r="N98" i="9"/>
  <c r="I98" i="9"/>
  <c r="H98" i="9"/>
  <c r="M98" i="9" s="1"/>
  <c r="N97" i="9"/>
  <c r="I97" i="9"/>
  <c r="H97" i="9"/>
  <c r="M97" i="9" s="1"/>
  <c r="N96" i="9"/>
  <c r="I96" i="9"/>
  <c r="L96" i="9" s="1"/>
  <c r="H96" i="9"/>
  <c r="N95" i="9"/>
  <c r="I95" i="9"/>
  <c r="J95" i="9" s="1"/>
  <c r="H95" i="9"/>
  <c r="N94" i="9"/>
  <c r="I94" i="9"/>
  <c r="H94" i="9"/>
  <c r="M94" i="9" s="1"/>
  <c r="N93" i="9"/>
  <c r="I93" i="9"/>
  <c r="H93" i="9"/>
  <c r="M93" i="9" s="1"/>
  <c r="N92" i="9"/>
  <c r="I92" i="9"/>
  <c r="H92" i="9"/>
  <c r="N91" i="9"/>
  <c r="I91" i="9"/>
  <c r="J91" i="9" s="1"/>
  <c r="H91" i="9"/>
  <c r="N90" i="9"/>
  <c r="I90" i="9"/>
  <c r="H90" i="9"/>
  <c r="M90" i="9" s="1"/>
  <c r="N89" i="9"/>
  <c r="I89" i="9"/>
  <c r="H89" i="9"/>
  <c r="N88" i="9"/>
  <c r="I88" i="9"/>
  <c r="H88" i="9"/>
  <c r="N87" i="9"/>
  <c r="I87" i="9"/>
  <c r="J87" i="9" s="1"/>
  <c r="H87" i="9"/>
  <c r="M87" i="9" s="1"/>
  <c r="N86" i="9"/>
  <c r="I86" i="9"/>
  <c r="H86" i="9"/>
  <c r="M86" i="9" s="1"/>
  <c r="N85" i="9"/>
  <c r="I85" i="9"/>
  <c r="H85" i="9"/>
  <c r="N84" i="9"/>
  <c r="I84" i="9"/>
  <c r="L84" i="9" s="1"/>
  <c r="H84" i="9"/>
  <c r="N83" i="9"/>
  <c r="I83" i="9"/>
  <c r="J83" i="9" s="1"/>
  <c r="H83" i="9"/>
  <c r="K83" i="9" s="1"/>
  <c r="N82" i="9"/>
  <c r="I82" i="9"/>
  <c r="H82" i="9"/>
  <c r="M82" i="9" s="1"/>
  <c r="N81" i="9"/>
  <c r="I81" i="9"/>
  <c r="H81" i="9"/>
  <c r="K81" i="9" s="1"/>
  <c r="N80" i="9"/>
  <c r="I80" i="9"/>
  <c r="L80" i="9" s="1"/>
  <c r="H80" i="9"/>
  <c r="N78" i="9"/>
  <c r="I78" i="9"/>
  <c r="J78" i="9" s="1"/>
  <c r="H78" i="9"/>
  <c r="N77" i="9"/>
  <c r="I77" i="9"/>
  <c r="H77" i="9"/>
  <c r="M77" i="9" s="1"/>
  <c r="N76" i="9"/>
  <c r="I76" i="9"/>
  <c r="H76" i="9"/>
  <c r="N75" i="9"/>
  <c r="I75" i="9"/>
  <c r="H75" i="9"/>
  <c r="N74" i="9"/>
  <c r="I74" i="9"/>
  <c r="H74" i="9"/>
  <c r="N73" i="9"/>
  <c r="I73" i="9"/>
  <c r="H73" i="9"/>
  <c r="N72" i="9"/>
  <c r="I72" i="9"/>
  <c r="H72" i="9"/>
  <c r="N71" i="9"/>
  <c r="I71" i="9"/>
  <c r="J71" i="9" s="1"/>
  <c r="H71" i="9"/>
  <c r="N70" i="9"/>
  <c r="I70" i="9"/>
  <c r="H70" i="9"/>
  <c r="N69" i="9"/>
  <c r="I69" i="9"/>
  <c r="H69" i="9"/>
  <c r="N68" i="9"/>
  <c r="I68" i="9"/>
  <c r="H68" i="9"/>
  <c r="N67" i="9"/>
  <c r="I67" i="9"/>
  <c r="L67" i="9" s="1"/>
  <c r="H67" i="9"/>
  <c r="N66" i="9"/>
  <c r="I66" i="9"/>
  <c r="H66" i="9"/>
  <c r="M66" i="9" s="1"/>
  <c r="N65" i="9"/>
  <c r="I65" i="9"/>
  <c r="H65" i="9"/>
  <c r="N64" i="9"/>
  <c r="I64" i="9"/>
  <c r="H64" i="9"/>
  <c r="M64" i="9" s="1"/>
  <c r="N63" i="9"/>
  <c r="I63" i="9"/>
  <c r="L63" i="9" s="1"/>
  <c r="H63" i="9"/>
  <c r="N62" i="9"/>
  <c r="I62" i="9"/>
  <c r="H62" i="9"/>
  <c r="N61" i="9"/>
  <c r="I61" i="9"/>
  <c r="H61" i="9"/>
  <c r="N60" i="9"/>
  <c r="I60" i="9"/>
  <c r="J60" i="9" s="1"/>
  <c r="H60" i="9"/>
  <c r="N59" i="9"/>
  <c r="I59" i="9"/>
  <c r="H59" i="9"/>
  <c r="M59" i="9" s="1"/>
  <c r="N58" i="9"/>
  <c r="I58" i="9"/>
  <c r="H58" i="9"/>
  <c r="N57" i="9"/>
  <c r="I57" i="9"/>
  <c r="L57" i="9" s="1"/>
  <c r="H57" i="9"/>
  <c r="N56" i="9"/>
  <c r="I56" i="9"/>
  <c r="H56" i="9"/>
  <c r="K56" i="9" s="1"/>
  <c r="N55" i="9"/>
  <c r="I55" i="9"/>
  <c r="L55" i="9" s="1"/>
  <c r="H55" i="9"/>
  <c r="M55" i="9" s="1"/>
  <c r="N54" i="9"/>
  <c r="I54" i="9"/>
  <c r="H54" i="9"/>
  <c r="M54" i="9" s="1"/>
  <c r="N53" i="9"/>
  <c r="I53" i="9"/>
  <c r="L53" i="9" s="1"/>
  <c r="H53" i="9"/>
  <c r="K53" i="9" s="1"/>
  <c r="N52" i="9"/>
  <c r="I52" i="9"/>
  <c r="H52" i="9"/>
  <c r="K52" i="9" s="1"/>
  <c r="N51" i="9"/>
  <c r="I51" i="9"/>
  <c r="L51" i="9" s="1"/>
  <c r="H51" i="9"/>
  <c r="M51" i="9" s="1"/>
  <c r="N50" i="9"/>
  <c r="I50" i="9"/>
  <c r="H50" i="9"/>
  <c r="N49" i="9"/>
  <c r="I49" i="9"/>
  <c r="L49" i="9" s="1"/>
  <c r="H49" i="9"/>
  <c r="N48" i="9"/>
  <c r="I48" i="9"/>
  <c r="H48" i="9"/>
  <c r="K48" i="9" s="1"/>
  <c r="N47" i="9"/>
  <c r="I47" i="9"/>
  <c r="H47" i="9"/>
  <c r="N46" i="9"/>
  <c r="I46" i="9"/>
  <c r="H46" i="9"/>
  <c r="N45" i="9"/>
  <c r="I45" i="9"/>
  <c r="L45" i="9" s="1"/>
  <c r="H45" i="9"/>
  <c r="N44" i="9"/>
  <c r="I44" i="9"/>
  <c r="H44" i="9"/>
  <c r="K44" i="9" s="1"/>
  <c r="N43" i="9"/>
  <c r="I43" i="9"/>
  <c r="J43" i="9" s="1"/>
  <c r="H43" i="9"/>
  <c r="N42" i="9"/>
  <c r="I42" i="9"/>
  <c r="H42" i="9"/>
  <c r="N41" i="9"/>
  <c r="I41" i="9"/>
  <c r="L41" i="9" s="1"/>
  <c r="H41" i="9"/>
  <c r="N40" i="9"/>
  <c r="I40" i="9"/>
  <c r="H40" i="9"/>
  <c r="K40" i="9" s="1"/>
  <c r="N39" i="9"/>
  <c r="I39" i="9"/>
  <c r="H39" i="9"/>
  <c r="N38" i="9"/>
  <c r="I38" i="9"/>
  <c r="H38" i="9"/>
  <c r="N37" i="9"/>
  <c r="I37" i="9"/>
  <c r="L37" i="9" s="1"/>
  <c r="H37" i="9"/>
  <c r="N36" i="9"/>
  <c r="I36" i="9"/>
  <c r="H36" i="9"/>
  <c r="K36" i="9" s="1"/>
  <c r="N35" i="9"/>
  <c r="I35" i="9"/>
  <c r="J35" i="9" s="1"/>
  <c r="H35" i="9"/>
  <c r="N34" i="9"/>
  <c r="I34" i="9"/>
  <c r="H34" i="9"/>
  <c r="N33" i="9"/>
  <c r="I33" i="9"/>
  <c r="L33" i="9" s="1"/>
  <c r="H33" i="9"/>
  <c r="N32" i="9"/>
  <c r="I32" i="9"/>
  <c r="H32" i="9"/>
  <c r="K32" i="9" s="1"/>
  <c r="N31" i="9"/>
  <c r="I31" i="9"/>
  <c r="L31" i="9" s="1"/>
  <c r="H31" i="9"/>
  <c r="N30" i="9"/>
  <c r="I30" i="9"/>
  <c r="H30" i="9"/>
  <c r="N29" i="9"/>
  <c r="I29" i="9"/>
  <c r="L29" i="9" s="1"/>
  <c r="H29" i="9"/>
  <c r="N28" i="9"/>
  <c r="I28" i="9"/>
  <c r="H28" i="9"/>
  <c r="K28" i="9" s="1"/>
  <c r="N27" i="9"/>
  <c r="I27" i="9"/>
  <c r="H27" i="9"/>
  <c r="N26" i="9"/>
  <c r="I26" i="9"/>
  <c r="H26" i="9"/>
  <c r="N25" i="9"/>
  <c r="I25" i="9"/>
  <c r="L25" i="9" s="1"/>
  <c r="H25" i="9"/>
  <c r="N24" i="9"/>
  <c r="I24" i="9"/>
  <c r="H24" i="9"/>
  <c r="K24" i="9" s="1"/>
  <c r="N23" i="9"/>
  <c r="I23" i="9"/>
  <c r="L23" i="9" s="1"/>
  <c r="H23" i="9"/>
  <c r="N22" i="9"/>
  <c r="I22" i="9"/>
  <c r="H22" i="9"/>
  <c r="N21" i="9"/>
  <c r="I21" i="9"/>
  <c r="L21" i="9" s="1"/>
  <c r="H21" i="9"/>
  <c r="N20" i="9"/>
  <c r="I20" i="9"/>
  <c r="H20" i="9"/>
  <c r="K20" i="9" s="1"/>
  <c r="N19" i="9"/>
  <c r="I19" i="9"/>
  <c r="J19" i="9" s="1"/>
  <c r="H19" i="9"/>
  <c r="N18" i="9"/>
  <c r="I18" i="9"/>
  <c r="H18" i="9"/>
  <c r="N17" i="9"/>
  <c r="I17" i="9"/>
  <c r="L17" i="9" s="1"/>
  <c r="H17" i="9"/>
  <c r="N16" i="9"/>
  <c r="I16" i="9"/>
  <c r="H16" i="9"/>
  <c r="K16" i="9" s="1"/>
  <c r="N15" i="9"/>
  <c r="I15" i="9"/>
  <c r="L15" i="9" s="1"/>
  <c r="H15" i="9"/>
  <c r="N14" i="9"/>
  <c r="I14" i="9"/>
  <c r="H14" i="9"/>
  <c r="N13" i="9"/>
  <c r="I13" i="9"/>
  <c r="L13" i="9" s="1"/>
  <c r="H13" i="9"/>
  <c r="N12" i="9"/>
  <c r="I12" i="9"/>
  <c r="H12" i="9"/>
  <c r="K12" i="9" s="1"/>
  <c r="N11" i="9"/>
  <c r="I11" i="9"/>
  <c r="H11" i="9"/>
  <c r="M11" i="9" s="1"/>
  <c r="N10" i="9"/>
  <c r="I10" i="9"/>
  <c r="H10" i="9"/>
  <c r="K10" i="9" s="1"/>
  <c r="N9" i="9"/>
  <c r="I9" i="9"/>
  <c r="L9" i="9" s="1"/>
  <c r="H9" i="9"/>
  <c r="N8" i="9"/>
  <c r="I8" i="9"/>
  <c r="H8" i="9"/>
  <c r="K8" i="9" s="1"/>
  <c r="N7" i="9"/>
  <c r="I7" i="9"/>
  <c r="H7" i="9"/>
  <c r="N6" i="9"/>
  <c r="I6" i="9"/>
  <c r="H6" i="9"/>
  <c r="N5" i="9"/>
  <c r="I5" i="9"/>
  <c r="L5" i="9" s="1"/>
  <c r="H5" i="9"/>
  <c r="N4" i="9"/>
  <c r="I4" i="9"/>
  <c r="H4" i="9"/>
  <c r="K4" i="9" s="1"/>
  <c r="N3" i="9"/>
  <c r="I3" i="9"/>
  <c r="L3" i="9" s="1"/>
  <c r="H3" i="9"/>
  <c r="N2" i="9"/>
  <c r="I2" i="9"/>
  <c r="H2" i="9"/>
  <c r="M2" i="9" s="1"/>
  <c r="N144" i="6"/>
  <c r="I144" i="6"/>
  <c r="J144" i="6" s="1"/>
  <c r="H144" i="6"/>
  <c r="K144" i="6" s="1"/>
  <c r="N143" i="6"/>
  <c r="I143" i="6"/>
  <c r="J143" i="6" s="1"/>
  <c r="H143" i="6"/>
  <c r="M143" i="6" s="1"/>
  <c r="N142" i="6"/>
  <c r="I142" i="6"/>
  <c r="H142" i="6"/>
  <c r="M142" i="6" s="1"/>
  <c r="N141" i="6"/>
  <c r="I141" i="6"/>
  <c r="H141" i="6"/>
  <c r="N140" i="6"/>
  <c r="I140" i="6"/>
  <c r="J140" i="6" s="1"/>
  <c r="H140" i="6"/>
  <c r="M140" i="6" s="1"/>
  <c r="N139" i="6"/>
  <c r="I139" i="6"/>
  <c r="H139" i="6"/>
  <c r="M139" i="6" s="1"/>
  <c r="N138" i="6"/>
  <c r="I138" i="6"/>
  <c r="H138" i="6"/>
  <c r="N137" i="6"/>
  <c r="I137" i="6"/>
  <c r="H137" i="6"/>
  <c r="N136" i="6"/>
  <c r="I136" i="6"/>
  <c r="J136" i="6" s="1"/>
  <c r="H136" i="6"/>
  <c r="N135" i="6"/>
  <c r="I135" i="6"/>
  <c r="H135" i="6"/>
  <c r="M135" i="6" s="1"/>
  <c r="N134" i="6"/>
  <c r="I134" i="6"/>
  <c r="H134" i="6"/>
  <c r="M134" i="6" s="1"/>
  <c r="N133" i="6"/>
  <c r="I133" i="6"/>
  <c r="L133" i="6" s="1"/>
  <c r="H133" i="6"/>
  <c r="N132" i="6"/>
  <c r="I132" i="6"/>
  <c r="J132" i="6" s="1"/>
  <c r="H132" i="6"/>
  <c r="N131" i="6"/>
  <c r="I131" i="6"/>
  <c r="L131" i="6" s="1"/>
  <c r="H131" i="6"/>
  <c r="M131" i="6" s="1"/>
  <c r="N130" i="6"/>
  <c r="I130" i="6"/>
  <c r="H130" i="6"/>
  <c r="N129" i="6"/>
  <c r="I129" i="6"/>
  <c r="H129" i="6"/>
  <c r="N128" i="6"/>
  <c r="I128" i="6"/>
  <c r="J128" i="6" s="1"/>
  <c r="H128" i="6"/>
  <c r="N127" i="6"/>
  <c r="I127" i="6"/>
  <c r="L127" i="6" s="1"/>
  <c r="H127" i="6"/>
  <c r="M127" i="6" s="1"/>
  <c r="N126" i="6"/>
  <c r="I126" i="6"/>
  <c r="H126" i="6"/>
  <c r="N125" i="6"/>
  <c r="I125" i="6"/>
  <c r="H125" i="6"/>
  <c r="N124" i="6"/>
  <c r="I124" i="6"/>
  <c r="J124" i="6" s="1"/>
  <c r="H124" i="6"/>
  <c r="M124" i="6" s="1"/>
  <c r="N123" i="6"/>
  <c r="I123" i="6"/>
  <c r="L123" i="6" s="1"/>
  <c r="H123" i="6"/>
  <c r="M123" i="6" s="1"/>
  <c r="N122" i="6"/>
  <c r="I122" i="6"/>
  <c r="H122" i="6"/>
  <c r="N121" i="6"/>
  <c r="I121" i="6"/>
  <c r="H121" i="6"/>
  <c r="N120" i="6"/>
  <c r="I120" i="6"/>
  <c r="J120" i="6" s="1"/>
  <c r="H120" i="6"/>
  <c r="N119" i="6"/>
  <c r="I119" i="6"/>
  <c r="L119" i="6" s="1"/>
  <c r="H119" i="6"/>
  <c r="M119" i="6" s="1"/>
  <c r="N118" i="6"/>
  <c r="I118" i="6"/>
  <c r="H118" i="6"/>
  <c r="M118" i="6" s="1"/>
  <c r="N117" i="6"/>
  <c r="I117" i="6"/>
  <c r="H117" i="6"/>
  <c r="N116" i="6"/>
  <c r="I116" i="6"/>
  <c r="J116" i="6" s="1"/>
  <c r="H116" i="6"/>
  <c r="M116" i="6" s="1"/>
  <c r="N115" i="6"/>
  <c r="I115" i="6"/>
  <c r="J115" i="6" s="1"/>
  <c r="H115" i="6"/>
  <c r="M115" i="6" s="1"/>
  <c r="N114" i="6"/>
  <c r="I114" i="6"/>
  <c r="H114" i="6"/>
  <c r="N113" i="6"/>
  <c r="I113" i="6"/>
  <c r="L113" i="6" s="1"/>
  <c r="H113" i="6"/>
  <c r="N112" i="6"/>
  <c r="I112" i="6"/>
  <c r="J112" i="6" s="1"/>
  <c r="H112" i="6"/>
  <c r="M112" i="6" s="1"/>
  <c r="N111" i="6"/>
  <c r="I111" i="6"/>
  <c r="L111" i="6" s="1"/>
  <c r="H111" i="6"/>
  <c r="M111" i="6" s="1"/>
  <c r="N110" i="6"/>
  <c r="I110" i="6"/>
  <c r="H110" i="6"/>
  <c r="N108" i="6"/>
  <c r="I108" i="6"/>
  <c r="H108" i="6"/>
  <c r="N107" i="6"/>
  <c r="I107" i="6"/>
  <c r="J107" i="6" s="1"/>
  <c r="H107" i="6"/>
  <c r="N106" i="6"/>
  <c r="I106" i="6"/>
  <c r="J106" i="6" s="1"/>
  <c r="H106" i="6"/>
  <c r="M106" i="6" s="1"/>
  <c r="N105" i="6"/>
  <c r="I105" i="6"/>
  <c r="H105" i="6"/>
  <c r="M105" i="6" s="1"/>
  <c r="N104" i="6"/>
  <c r="I104" i="6"/>
  <c r="H104" i="6"/>
  <c r="N103" i="6"/>
  <c r="I103" i="6"/>
  <c r="J103" i="6" s="1"/>
  <c r="H103" i="6"/>
  <c r="N102" i="6"/>
  <c r="I102" i="6"/>
  <c r="L102" i="6" s="1"/>
  <c r="H102" i="6"/>
  <c r="M102" i="6" s="1"/>
  <c r="N101" i="6"/>
  <c r="I101" i="6"/>
  <c r="H101" i="6"/>
  <c r="N100" i="6"/>
  <c r="I100" i="6"/>
  <c r="H100" i="6"/>
  <c r="N99" i="6"/>
  <c r="I99" i="6"/>
  <c r="J99" i="6" s="1"/>
  <c r="H99" i="6"/>
  <c r="M99" i="6" s="1"/>
  <c r="N98" i="6"/>
  <c r="I98" i="6"/>
  <c r="J98" i="6" s="1"/>
  <c r="H98" i="6"/>
  <c r="M98" i="6" s="1"/>
  <c r="N97" i="6"/>
  <c r="I97" i="6"/>
  <c r="H97" i="6"/>
  <c r="K97" i="6" s="1"/>
  <c r="N96" i="6"/>
  <c r="I96" i="6"/>
  <c r="L96" i="6" s="1"/>
  <c r="H96" i="6"/>
  <c r="N95" i="6"/>
  <c r="I95" i="6"/>
  <c r="J95" i="6" s="1"/>
  <c r="H95" i="6"/>
  <c r="N94" i="6"/>
  <c r="I94" i="6"/>
  <c r="H94" i="6"/>
  <c r="M94" i="6" s="1"/>
  <c r="N93" i="6"/>
  <c r="I93" i="6"/>
  <c r="H93" i="6"/>
  <c r="N92" i="6"/>
  <c r="I92" i="6"/>
  <c r="H92" i="6"/>
  <c r="N91" i="6"/>
  <c r="I91" i="6"/>
  <c r="J91" i="6" s="1"/>
  <c r="H91" i="6"/>
  <c r="N90" i="6"/>
  <c r="I90" i="6"/>
  <c r="H90" i="6"/>
  <c r="M90" i="6" s="1"/>
  <c r="N89" i="6"/>
  <c r="I89" i="6"/>
  <c r="H89" i="6"/>
  <c r="N88" i="6"/>
  <c r="I88" i="6"/>
  <c r="L88" i="6" s="1"/>
  <c r="H88" i="6"/>
  <c r="N87" i="6"/>
  <c r="I87" i="6"/>
  <c r="J87" i="6" s="1"/>
  <c r="H87" i="6"/>
  <c r="N86" i="6"/>
  <c r="I86" i="6"/>
  <c r="L86" i="6" s="1"/>
  <c r="H86" i="6"/>
  <c r="M86" i="6" s="1"/>
  <c r="N85" i="6"/>
  <c r="I85" i="6"/>
  <c r="H85" i="6"/>
  <c r="N84" i="6"/>
  <c r="I84" i="6"/>
  <c r="H84" i="6"/>
  <c r="N83" i="6"/>
  <c r="I83" i="6"/>
  <c r="J83" i="6" s="1"/>
  <c r="H83" i="6"/>
  <c r="N82" i="6"/>
  <c r="I82" i="6"/>
  <c r="H82" i="6"/>
  <c r="M82" i="6" s="1"/>
  <c r="N81" i="6"/>
  <c r="I81" i="6"/>
  <c r="H81" i="6"/>
  <c r="N80" i="6"/>
  <c r="I80" i="6"/>
  <c r="J80" i="6" s="1"/>
  <c r="H80" i="6"/>
  <c r="N78" i="6"/>
  <c r="I78" i="6"/>
  <c r="J78" i="6" s="1"/>
  <c r="H78" i="6"/>
  <c r="K78" i="6" s="1"/>
  <c r="N77" i="6"/>
  <c r="I77" i="6"/>
  <c r="H77" i="6"/>
  <c r="N76" i="6"/>
  <c r="I76" i="6"/>
  <c r="H76" i="6"/>
  <c r="K76" i="6" s="1"/>
  <c r="N75" i="6"/>
  <c r="I75" i="6"/>
  <c r="H75" i="6"/>
  <c r="N74" i="6"/>
  <c r="I74" i="6"/>
  <c r="H74" i="6"/>
  <c r="N73" i="6"/>
  <c r="I73" i="6"/>
  <c r="H73" i="6"/>
  <c r="N72" i="6"/>
  <c r="I72" i="6"/>
  <c r="H72" i="6"/>
  <c r="N71" i="6"/>
  <c r="I71" i="6"/>
  <c r="J71" i="6" s="1"/>
  <c r="H71" i="6"/>
  <c r="N70" i="6"/>
  <c r="I70" i="6"/>
  <c r="J70" i="6" s="1"/>
  <c r="H70" i="6"/>
  <c r="N69" i="6"/>
  <c r="I69" i="6"/>
  <c r="H69" i="6"/>
  <c r="M69" i="6" s="1"/>
  <c r="N68" i="6"/>
  <c r="I68" i="6"/>
  <c r="L68" i="6" s="1"/>
  <c r="H68" i="6"/>
  <c r="N67" i="6"/>
  <c r="I67" i="6"/>
  <c r="L67" i="6" s="1"/>
  <c r="H67" i="6"/>
  <c r="K67" i="6" s="1"/>
  <c r="N66" i="6"/>
  <c r="I66" i="6"/>
  <c r="J66" i="6" s="1"/>
  <c r="H66" i="6"/>
  <c r="N65" i="6"/>
  <c r="I65" i="6"/>
  <c r="J65" i="6" s="1"/>
  <c r="H65" i="6"/>
  <c r="M65" i="6" s="1"/>
  <c r="N64" i="6"/>
  <c r="I64" i="6"/>
  <c r="H64" i="6"/>
  <c r="N63" i="6"/>
  <c r="I63" i="6"/>
  <c r="L63" i="6" s="1"/>
  <c r="H63" i="6"/>
  <c r="K63" i="6" s="1"/>
  <c r="N62" i="6"/>
  <c r="I62" i="6"/>
  <c r="H62" i="6"/>
  <c r="N61" i="6"/>
  <c r="I61" i="6"/>
  <c r="H61" i="6"/>
  <c r="M61" i="6" s="1"/>
  <c r="N60" i="6"/>
  <c r="I60" i="6"/>
  <c r="H60" i="6"/>
  <c r="N59" i="6"/>
  <c r="I59" i="6"/>
  <c r="L59" i="6" s="1"/>
  <c r="H59" i="6"/>
  <c r="K59" i="6" s="1"/>
  <c r="N58" i="6"/>
  <c r="I58" i="6"/>
  <c r="H58" i="6"/>
  <c r="K58" i="6" s="1"/>
  <c r="N57" i="6"/>
  <c r="I57" i="6"/>
  <c r="L57" i="6" s="1"/>
  <c r="H57" i="6"/>
  <c r="M57" i="6" s="1"/>
  <c r="N56" i="6"/>
  <c r="I56" i="6"/>
  <c r="L56" i="6" s="1"/>
  <c r="H56" i="6"/>
  <c r="N55" i="6"/>
  <c r="I55" i="6"/>
  <c r="L55" i="6" s="1"/>
  <c r="H55" i="6"/>
  <c r="N54" i="6"/>
  <c r="I54" i="6"/>
  <c r="H54" i="6"/>
  <c r="K54" i="6" s="1"/>
  <c r="N53" i="6"/>
  <c r="I53" i="6"/>
  <c r="H53" i="6"/>
  <c r="N52" i="6"/>
  <c r="I52" i="6"/>
  <c r="H52" i="6"/>
  <c r="N51" i="6"/>
  <c r="I51" i="6"/>
  <c r="L51" i="6" s="1"/>
  <c r="H51" i="6"/>
  <c r="N50" i="6"/>
  <c r="I50" i="6"/>
  <c r="H50" i="6"/>
  <c r="K50" i="6" s="1"/>
  <c r="N49" i="6"/>
  <c r="I49" i="6"/>
  <c r="L49" i="6" s="1"/>
  <c r="H49" i="6"/>
  <c r="N48" i="6"/>
  <c r="I48" i="6"/>
  <c r="H48" i="6"/>
  <c r="N47" i="6"/>
  <c r="I47" i="6"/>
  <c r="L47" i="6" s="1"/>
  <c r="H47" i="6"/>
  <c r="N46" i="6"/>
  <c r="I46" i="6"/>
  <c r="H46" i="6"/>
  <c r="K46" i="6" s="1"/>
  <c r="N45" i="6"/>
  <c r="I45" i="6"/>
  <c r="H45" i="6"/>
  <c r="N44" i="6"/>
  <c r="I44" i="6"/>
  <c r="L44" i="6" s="1"/>
  <c r="H44" i="6"/>
  <c r="N43" i="6"/>
  <c r="I43" i="6"/>
  <c r="L43" i="6" s="1"/>
  <c r="H43" i="6"/>
  <c r="N42" i="6"/>
  <c r="I42" i="6"/>
  <c r="H42" i="6"/>
  <c r="K42" i="6" s="1"/>
  <c r="N41" i="6"/>
  <c r="I41" i="6"/>
  <c r="L41" i="6" s="1"/>
  <c r="H41" i="6"/>
  <c r="N40" i="6"/>
  <c r="I40" i="6"/>
  <c r="H40" i="6"/>
  <c r="M40" i="6" s="1"/>
  <c r="N39" i="6"/>
  <c r="I39" i="6"/>
  <c r="L39" i="6" s="1"/>
  <c r="H39" i="6"/>
  <c r="K39" i="6" s="1"/>
  <c r="N38" i="6"/>
  <c r="I38" i="6"/>
  <c r="H38" i="6"/>
  <c r="K38" i="6" s="1"/>
  <c r="N37" i="6"/>
  <c r="I37" i="6"/>
  <c r="H37" i="6"/>
  <c r="N36" i="6"/>
  <c r="I36" i="6"/>
  <c r="L36" i="6" s="1"/>
  <c r="H36" i="6"/>
  <c r="N35" i="6"/>
  <c r="I35" i="6"/>
  <c r="L35" i="6" s="1"/>
  <c r="H35" i="6"/>
  <c r="N34" i="6"/>
  <c r="I34" i="6"/>
  <c r="H34" i="6"/>
  <c r="K34" i="6" s="1"/>
  <c r="N33" i="6"/>
  <c r="I33" i="6"/>
  <c r="H33" i="6"/>
  <c r="N32" i="6"/>
  <c r="I32" i="6"/>
  <c r="L32" i="6" s="1"/>
  <c r="H32" i="6"/>
  <c r="N31" i="6"/>
  <c r="I31" i="6"/>
  <c r="L31" i="6" s="1"/>
  <c r="H31" i="6"/>
  <c r="N30" i="6"/>
  <c r="I30" i="6"/>
  <c r="H30" i="6"/>
  <c r="K30" i="6" s="1"/>
  <c r="N29" i="6"/>
  <c r="I29" i="6"/>
  <c r="H29" i="6"/>
  <c r="N28" i="6"/>
  <c r="I28" i="6"/>
  <c r="L28" i="6" s="1"/>
  <c r="H28" i="6"/>
  <c r="N27" i="6"/>
  <c r="I27" i="6"/>
  <c r="L27" i="6" s="1"/>
  <c r="H27" i="6"/>
  <c r="N26" i="6"/>
  <c r="I26" i="6"/>
  <c r="J26" i="6" s="1"/>
  <c r="H26" i="6"/>
  <c r="K26" i="6" s="1"/>
  <c r="N25" i="6"/>
  <c r="I25" i="6"/>
  <c r="L25" i="6" s="1"/>
  <c r="H25" i="6"/>
  <c r="N24" i="6"/>
  <c r="I24" i="6"/>
  <c r="L24" i="6" s="1"/>
  <c r="H24" i="6"/>
  <c r="N23" i="6"/>
  <c r="I23" i="6"/>
  <c r="L23" i="6" s="1"/>
  <c r="H23" i="6"/>
  <c r="N22" i="6"/>
  <c r="I22" i="6"/>
  <c r="H22" i="6"/>
  <c r="K22" i="6" s="1"/>
  <c r="N21" i="6"/>
  <c r="I21" i="6"/>
  <c r="H21" i="6"/>
  <c r="N20" i="6"/>
  <c r="I20" i="6"/>
  <c r="H20" i="6"/>
  <c r="N19" i="6"/>
  <c r="I19" i="6"/>
  <c r="L19" i="6" s="1"/>
  <c r="H19" i="6"/>
  <c r="N18" i="6"/>
  <c r="I18" i="6"/>
  <c r="J18" i="6" s="1"/>
  <c r="H18" i="6"/>
  <c r="K18" i="6" s="1"/>
  <c r="N17" i="6"/>
  <c r="I17" i="6"/>
  <c r="H17" i="6"/>
  <c r="N16" i="6"/>
  <c r="I16" i="6"/>
  <c r="L16" i="6" s="1"/>
  <c r="H16" i="6"/>
  <c r="N15" i="6"/>
  <c r="I15" i="6"/>
  <c r="L15" i="6" s="1"/>
  <c r="H15" i="6"/>
  <c r="N14" i="6"/>
  <c r="I14" i="6"/>
  <c r="J14" i="6" s="1"/>
  <c r="H14" i="6"/>
  <c r="K14" i="6" s="1"/>
  <c r="N13" i="6"/>
  <c r="I13" i="6"/>
  <c r="L13" i="6" s="1"/>
  <c r="H13" i="6"/>
  <c r="M13" i="6" s="1"/>
  <c r="N12" i="6"/>
  <c r="I12" i="6"/>
  <c r="L12" i="6" s="1"/>
  <c r="H12" i="6"/>
  <c r="N11" i="6"/>
  <c r="I11" i="6"/>
  <c r="L11" i="6" s="1"/>
  <c r="H11" i="6"/>
  <c r="N10" i="6"/>
  <c r="I10" i="6"/>
  <c r="J10" i="6" s="1"/>
  <c r="H10" i="6"/>
  <c r="K10" i="6" s="1"/>
  <c r="N9" i="6"/>
  <c r="I9" i="6"/>
  <c r="H9" i="6"/>
  <c r="N8" i="6"/>
  <c r="I8" i="6"/>
  <c r="L8" i="6" s="1"/>
  <c r="H8" i="6"/>
  <c r="N7" i="6"/>
  <c r="I7" i="6"/>
  <c r="L7" i="6" s="1"/>
  <c r="H7" i="6"/>
  <c r="N6" i="6"/>
  <c r="I6" i="6"/>
  <c r="J6" i="6" s="1"/>
  <c r="H6" i="6"/>
  <c r="K6" i="6" s="1"/>
  <c r="N5" i="6"/>
  <c r="I5" i="6"/>
  <c r="H5" i="6"/>
  <c r="N4" i="6"/>
  <c r="I4" i="6"/>
  <c r="L4" i="6" s="1"/>
  <c r="H4" i="6"/>
  <c r="N3" i="6"/>
  <c r="I3" i="6"/>
  <c r="L3" i="6" s="1"/>
  <c r="H3" i="6"/>
  <c r="N2" i="6"/>
  <c r="I2" i="6"/>
  <c r="J2" i="6" s="1"/>
  <c r="H2" i="6"/>
  <c r="K2" i="6" s="1"/>
  <c r="N144" i="18"/>
  <c r="I144" i="18"/>
  <c r="J144" i="18" s="1"/>
  <c r="H144" i="18"/>
  <c r="N143" i="18"/>
  <c r="I143" i="18"/>
  <c r="L143" i="18" s="1"/>
  <c r="H143" i="18"/>
  <c r="M143" i="18" s="1"/>
  <c r="N142" i="18"/>
  <c r="I142" i="18"/>
  <c r="H142" i="18"/>
  <c r="N141" i="18"/>
  <c r="I141" i="18"/>
  <c r="H141" i="18"/>
  <c r="N140" i="18"/>
  <c r="I140" i="18"/>
  <c r="J140" i="18" s="1"/>
  <c r="H140" i="18"/>
  <c r="K140" i="18" s="1"/>
  <c r="N139" i="18"/>
  <c r="I139" i="18"/>
  <c r="H139" i="18"/>
  <c r="M139" i="18" s="1"/>
  <c r="N138" i="18"/>
  <c r="I138" i="18"/>
  <c r="H138" i="18"/>
  <c r="N137" i="18"/>
  <c r="I137" i="18"/>
  <c r="J137" i="18" s="1"/>
  <c r="H137" i="18"/>
  <c r="N136" i="18"/>
  <c r="I136" i="18"/>
  <c r="J136" i="18" s="1"/>
  <c r="H136" i="18"/>
  <c r="N135" i="18"/>
  <c r="I135" i="18"/>
  <c r="H135" i="18"/>
  <c r="M135" i="18" s="1"/>
  <c r="N134" i="18"/>
  <c r="I134" i="18"/>
  <c r="H134" i="18"/>
  <c r="N133" i="18"/>
  <c r="I133" i="18"/>
  <c r="J133" i="18" s="1"/>
  <c r="H133" i="18"/>
  <c r="N132" i="18"/>
  <c r="I132" i="18"/>
  <c r="J132" i="18" s="1"/>
  <c r="H132" i="18"/>
  <c r="N131" i="18"/>
  <c r="I131" i="18"/>
  <c r="J131" i="18" s="1"/>
  <c r="H131" i="18"/>
  <c r="M131" i="18" s="1"/>
  <c r="N130" i="18"/>
  <c r="I130" i="18"/>
  <c r="H130" i="18"/>
  <c r="K130" i="18" s="1"/>
  <c r="N129" i="18"/>
  <c r="I129" i="18"/>
  <c r="L129" i="18" s="1"/>
  <c r="H129" i="18"/>
  <c r="N128" i="18"/>
  <c r="I128" i="18"/>
  <c r="J128" i="18" s="1"/>
  <c r="H128" i="18"/>
  <c r="M128" i="18" s="1"/>
  <c r="N127" i="18"/>
  <c r="I127" i="18"/>
  <c r="L127" i="18" s="1"/>
  <c r="H127" i="18"/>
  <c r="M127" i="18" s="1"/>
  <c r="N126" i="18"/>
  <c r="I126" i="18"/>
  <c r="H126" i="18"/>
  <c r="M126" i="18" s="1"/>
  <c r="N125" i="18"/>
  <c r="I125" i="18"/>
  <c r="J125" i="18" s="1"/>
  <c r="H125" i="18"/>
  <c r="N124" i="18"/>
  <c r="I124" i="18"/>
  <c r="J124" i="18" s="1"/>
  <c r="H124" i="18"/>
  <c r="M124" i="18" s="1"/>
  <c r="N123" i="18"/>
  <c r="I123" i="18"/>
  <c r="L123" i="18" s="1"/>
  <c r="H123" i="18"/>
  <c r="M123" i="18" s="1"/>
  <c r="N122" i="18"/>
  <c r="I122" i="18"/>
  <c r="H122" i="18"/>
  <c r="M122" i="18" s="1"/>
  <c r="N121" i="18"/>
  <c r="I121" i="18"/>
  <c r="H121" i="18"/>
  <c r="N120" i="18"/>
  <c r="I120" i="18"/>
  <c r="J120" i="18" s="1"/>
  <c r="H120" i="18"/>
  <c r="N119" i="18"/>
  <c r="I119" i="18"/>
  <c r="L119" i="18" s="1"/>
  <c r="H119" i="18"/>
  <c r="M119" i="18" s="1"/>
  <c r="N118" i="18"/>
  <c r="I118" i="18"/>
  <c r="H118" i="18"/>
  <c r="N117" i="18"/>
  <c r="I117" i="18"/>
  <c r="J117" i="18" s="1"/>
  <c r="H117" i="18"/>
  <c r="N116" i="18"/>
  <c r="I116" i="18"/>
  <c r="J116" i="18" s="1"/>
  <c r="H116" i="18"/>
  <c r="M116" i="18" s="1"/>
  <c r="N115" i="18"/>
  <c r="I115" i="18"/>
  <c r="L115" i="18" s="1"/>
  <c r="H115" i="18"/>
  <c r="M115" i="18" s="1"/>
  <c r="N114" i="18"/>
  <c r="I114" i="18"/>
  <c r="H114" i="18"/>
  <c r="N113" i="18"/>
  <c r="I113" i="18"/>
  <c r="J113" i="18" s="1"/>
  <c r="H113" i="18"/>
  <c r="N112" i="18"/>
  <c r="I112" i="18"/>
  <c r="J112" i="18" s="1"/>
  <c r="H112" i="18"/>
  <c r="N111" i="18"/>
  <c r="I111" i="18"/>
  <c r="L111" i="18" s="1"/>
  <c r="H111" i="18"/>
  <c r="M111" i="18" s="1"/>
  <c r="N110" i="18"/>
  <c r="I110" i="18"/>
  <c r="H110" i="18"/>
  <c r="N108" i="18"/>
  <c r="I108" i="18"/>
  <c r="J108" i="18" s="1"/>
  <c r="H108" i="18"/>
  <c r="N107" i="18"/>
  <c r="I107" i="18"/>
  <c r="J107" i="18" s="1"/>
  <c r="H107" i="18"/>
  <c r="N106" i="18"/>
  <c r="I106" i="18"/>
  <c r="L106" i="18" s="1"/>
  <c r="H106" i="18"/>
  <c r="M106" i="18" s="1"/>
  <c r="N105" i="18"/>
  <c r="I105" i="18"/>
  <c r="H105" i="18"/>
  <c r="N104" i="18"/>
  <c r="I104" i="18"/>
  <c r="J104" i="18" s="1"/>
  <c r="H104" i="18"/>
  <c r="N103" i="18"/>
  <c r="I103" i="18"/>
  <c r="J103" i="18" s="1"/>
  <c r="H103" i="18"/>
  <c r="N102" i="18"/>
  <c r="I102" i="18"/>
  <c r="L102" i="18" s="1"/>
  <c r="H102" i="18"/>
  <c r="M102" i="18" s="1"/>
  <c r="N101" i="18"/>
  <c r="I101" i="18"/>
  <c r="H101" i="18"/>
  <c r="N100" i="18"/>
  <c r="I100" i="18"/>
  <c r="H100" i="18"/>
  <c r="N99" i="18"/>
  <c r="I99" i="18"/>
  <c r="J99" i="18" s="1"/>
  <c r="H99" i="18"/>
  <c r="N98" i="18"/>
  <c r="I98" i="18"/>
  <c r="H98" i="18"/>
  <c r="M98" i="18" s="1"/>
  <c r="N97" i="18"/>
  <c r="I97" i="18"/>
  <c r="H97" i="18"/>
  <c r="K97" i="18" s="1"/>
  <c r="N96" i="18"/>
  <c r="I96" i="18"/>
  <c r="J96" i="18" s="1"/>
  <c r="H96" i="18"/>
  <c r="N95" i="18"/>
  <c r="I95" i="18"/>
  <c r="J95" i="18" s="1"/>
  <c r="H95" i="18"/>
  <c r="N94" i="18"/>
  <c r="I94" i="18"/>
  <c r="L94" i="18" s="1"/>
  <c r="H94" i="18"/>
  <c r="M94" i="18" s="1"/>
  <c r="N93" i="18"/>
  <c r="I93" i="18"/>
  <c r="H93" i="18"/>
  <c r="N92" i="18"/>
  <c r="I92" i="18"/>
  <c r="J92" i="18" s="1"/>
  <c r="H92" i="18"/>
  <c r="N91" i="18"/>
  <c r="I91" i="18"/>
  <c r="J91" i="18" s="1"/>
  <c r="H91" i="18"/>
  <c r="N90" i="18"/>
  <c r="I90" i="18"/>
  <c r="L90" i="18" s="1"/>
  <c r="H90" i="18"/>
  <c r="M90" i="18" s="1"/>
  <c r="N89" i="18"/>
  <c r="I89" i="18"/>
  <c r="H89" i="18"/>
  <c r="N88" i="18"/>
  <c r="I88" i="18"/>
  <c r="H88" i="18"/>
  <c r="N87" i="18"/>
  <c r="I87" i="18"/>
  <c r="J87" i="18" s="1"/>
  <c r="H87" i="18"/>
  <c r="N86" i="18"/>
  <c r="I86" i="18"/>
  <c r="L86" i="18" s="1"/>
  <c r="H86" i="18"/>
  <c r="M86" i="18" s="1"/>
  <c r="N85" i="18"/>
  <c r="I85" i="18"/>
  <c r="H85" i="18"/>
  <c r="N84" i="18"/>
  <c r="I84" i="18"/>
  <c r="J84" i="18" s="1"/>
  <c r="H84" i="18"/>
  <c r="N83" i="18"/>
  <c r="I83" i="18"/>
  <c r="J83" i="18" s="1"/>
  <c r="H83" i="18"/>
  <c r="N82" i="18"/>
  <c r="I82" i="18"/>
  <c r="L82" i="18" s="1"/>
  <c r="H82" i="18"/>
  <c r="M82" i="18" s="1"/>
  <c r="N81" i="18"/>
  <c r="I81" i="18"/>
  <c r="H81" i="18"/>
  <c r="N80" i="18"/>
  <c r="I80" i="18"/>
  <c r="H80" i="18"/>
  <c r="N78" i="18"/>
  <c r="I78" i="18"/>
  <c r="J78" i="18" s="1"/>
  <c r="H78" i="18"/>
  <c r="N77" i="18"/>
  <c r="I77" i="18"/>
  <c r="L77" i="18" s="1"/>
  <c r="H77" i="18"/>
  <c r="M77" i="18" s="1"/>
  <c r="N76" i="18"/>
  <c r="I76" i="18"/>
  <c r="H76" i="18"/>
  <c r="N75" i="18"/>
  <c r="I75" i="18"/>
  <c r="H75" i="18"/>
  <c r="N74" i="18"/>
  <c r="I74" i="18"/>
  <c r="J74" i="18" s="1"/>
  <c r="H74" i="18"/>
  <c r="N73" i="18"/>
  <c r="I73" i="18"/>
  <c r="L73" i="18" s="1"/>
  <c r="H73" i="18"/>
  <c r="M73" i="18" s="1"/>
  <c r="N72" i="18"/>
  <c r="I72" i="18"/>
  <c r="H72" i="18"/>
  <c r="N71" i="18"/>
  <c r="I71" i="18"/>
  <c r="H71" i="18"/>
  <c r="N70" i="18"/>
  <c r="I70" i="18"/>
  <c r="J70" i="18" s="1"/>
  <c r="H70" i="18"/>
  <c r="N69" i="18"/>
  <c r="I69" i="18"/>
  <c r="L69" i="18" s="1"/>
  <c r="H69" i="18"/>
  <c r="N68" i="18"/>
  <c r="I68" i="18"/>
  <c r="H68" i="18"/>
  <c r="M68" i="18" s="1"/>
  <c r="N67" i="18"/>
  <c r="I67" i="18"/>
  <c r="J67" i="18" s="1"/>
  <c r="H67" i="18"/>
  <c r="N66" i="18"/>
  <c r="I66" i="18"/>
  <c r="H66" i="18"/>
  <c r="K66" i="18" s="1"/>
  <c r="N65" i="18"/>
  <c r="I65" i="18"/>
  <c r="H65" i="18"/>
  <c r="N64" i="18"/>
  <c r="I64" i="18"/>
  <c r="H64" i="18"/>
  <c r="N63" i="18"/>
  <c r="I63" i="18"/>
  <c r="J63" i="18" s="1"/>
  <c r="H63" i="18"/>
  <c r="N62" i="18"/>
  <c r="I62" i="18"/>
  <c r="H62" i="18"/>
  <c r="N61" i="18"/>
  <c r="I61" i="18"/>
  <c r="L61" i="18" s="1"/>
  <c r="H61" i="18"/>
  <c r="N60" i="18"/>
  <c r="I60" i="18"/>
  <c r="J60" i="18" s="1"/>
  <c r="H60" i="18"/>
  <c r="M60" i="18" s="1"/>
  <c r="N59" i="18"/>
  <c r="I59" i="18"/>
  <c r="L59" i="18" s="1"/>
  <c r="H59" i="18"/>
  <c r="N58" i="18"/>
  <c r="I58" i="18"/>
  <c r="H58" i="18"/>
  <c r="N57" i="18"/>
  <c r="I57" i="18"/>
  <c r="L57" i="18" s="1"/>
  <c r="H57" i="18"/>
  <c r="N56" i="18"/>
  <c r="I56" i="18"/>
  <c r="H56" i="18"/>
  <c r="K56" i="18" s="1"/>
  <c r="N55" i="18"/>
  <c r="I55" i="18"/>
  <c r="J55" i="18" s="1"/>
  <c r="H55" i="18"/>
  <c r="N54" i="18"/>
  <c r="I54" i="18"/>
  <c r="H54" i="18"/>
  <c r="M54" i="18" s="1"/>
  <c r="N53" i="18"/>
  <c r="I53" i="18"/>
  <c r="L53" i="18" s="1"/>
  <c r="H53" i="18"/>
  <c r="K53" i="18" s="1"/>
  <c r="N52" i="18"/>
  <c r="I52" i="18"/>
  <c r="H52" i="18"/>
  <c r="K52" i="18" s="1"/>
  <c r="N51" i="18"/>
  <c r="I51" i="18"/>
  <c r="L51" i="18" s="1"/>
  <c r="H51" i="18"/>
  <c r="N50" i="18"/>
  <c r="I50" i="18"/>
  <c r="H50" i="18"/>
  <c r="N49" i="18"/>
  <c r="I49" i="18"/>
  <c r="L49" i="18" s="1"/>
  <c r="H49" i="18"/>
  <c r="N48" i="18"/>
  <c r="I48" i="18"/>
  <c r="H48" i="18"/>
  <c r="K48" i="18" s="1"/>
  <c r="N47" i="18"/>
  <c r="I47" i="18"/>
  <c r="J47" i="18" s="1"/>
  <c r="H47" i="18"/>
  <c r="N46" i="18"/>
  <c r="I46" i="18"/>
  <c r="H46" i="18"/>
  <c r="N45" i="18"/>
  <c r="I45" i="18"/>
  <c r="L45" i="18" s="1"/>
  <c r="H45" i="18"/>
  <c r="N44" i="18"/>
  <c r="I44" i="18"/>
  <c r="H44" i="18"/>
  <c r="K44" i="18" s="1"/>
  <c r="N43" i="18"/>
  <c r="I43" i="18"/>
  <c r="H43" i="18"/>
  <c r="N42" i="18"/>
  <c r="I42" i="18"/>
  <c r="H42" i="18"/>
  <c r="N41" i="18"/>
  <c r="I41" i="18"/>
  <c r="L41" i="18" s="1"/>
  <c r="H41" i="18"/>
  <c r="N40" i="18"/>
  <c r="I40" i="18"/>
  <c r="H40" i="18"/>
  <c r="K40" i="18" s="1"/>
  <c r="N39" i="18"/>
  <c r="I39" i="18"/>
  <c r="H39" i="18"/>
  <c r="N38" i="18"/>
  <c r="I38" i="18"/>
  <c r="H38" i="18"/>
  <c r="N37" i="18"/>
  <c r="I37" i="18"/>
  <c r="L37" i="18" s="1"/>
  <c r="H37" i="18"/>
  <c r="N36" i="18"/>
  <c r="I36" i="18"/>
  <c r="H36" i="18"/>
  <c r="K36" i="18" s="1"/>
  <c r="N35" i="18"/>
  <c r="I35" i="18"/>
  <c r="J35" i="18" s="1"/>
  <c r="H35" i="18"/>
  <c r="N34" i="18"/>
  <c r="I34" i="18"/>
  <c r="H34" i="18"/>
  <c r="N33" i="18"/>
  <c r="I33" i="18"/>
  <c r="L33" i="18" s="1"/>
  <c r="H33" i="18"/>
  <c r="N32" i="18"/>
  <c r="I32" i="18"/>
  <c r="H32" i="18"/>
  <c r="K32" i="18" s="1"/>
  <c r="N31" i="18"/>
  <c r="I31" i="18"/>
  <c r="L31" i="18" s="1"/>
  <c r="H31" i="18"/>
  <c r="M31" i="18" s="1"/>
  <c r="N30" i="18"/>
  <c r="I30" i="18"/>
  <c r="H30" i="18"/>
  <c r="K30" i="18" s="1"/>
  <c r="N29" i="18"/>
  <c r="I29" i="18"/>
  <c r="L29" i="18" s="1"/>
  <c r="H29" i="18"/>
  <c r="N28" i="18"/>
  <c r="I28" i="18"/>
  <c r="H28" i="18"/>
  <c r="K28" i="18" s="1"/>
  <c r="N27" i="18"/>
  <c r="I27" i="18"/>
  <c r="L27" i="18" s="1"/>
  <c r="H27" i="18"/>
  <c r="N26" i="18"/>
  <c r="I26" i="18"/>
  <c r="H26" i="18"/>
  <c r="N25" i="18"/>
  <c r="I25" i="18"/>
  <c r="L25" i="18" s="1"/>
  <c r="H25" i="18"/>
  <c r="N24" i="18"/>
  <c r="I24" i="18"/>
  <c r="H24" i="18"/>
  <c r="K24" i="18" s="1"/>
  <c r="N23" i="18"/>
  <c r="I23" i="18"/>
  <c r="L23" i="18" s="1"/>
  <c r="H23" i="18"/>
  <c r="N22" i="18"/>
  <c r="I22" i="18"/>
  <c r="H22" i="18"/>
  <c r="K22" i="18" s="1"/>
  <c r="N21" i="18"/>
  <c r="I21" i="18"/>
  <c r="L21" i="18" s="1"/>
  <c r="H21" i="18"/>
  <c r="K21" i="18" s="1"/>
  <c r="N20" i="18"/>
  <c r="I20" i="18"/>
  <c r="H20" i="18"/>
  <c r="K20" i="18" s="1"/>
  <c r="N19" i="18"/>
  <c r="I19" i="18"/>
  <c r="H19" i="18"/>
  <c r="N18" i="18"/>
  <c r="I18" i="18"/>
  <c r="H18" i="18"/>
  <c r="N17" i="18"/>
  <c r="I17" i="18"/>
  <c r="L17" i="18" s="1"/>
  <c r="H17" i="18"/>
  <c r="N16" i="18"/>
  <c r="I16" i="18"/>
  <c r="H16" i="18"/>
  <c r="K16" i="18" s="1"/>
  <c r="N15" i="18"/>
  <c r="I15" i="18"/>
  <c r="H15" i="18"/>
  <c r="N14" i="18"/>
  <c r="I14" i="18"/>
  <c r="H14" i="18"/>
  <c r="N13" i="18"/>
  <c r="I13" i="18"/>
  <c r="L13" i="18" s="1"/>
  <c r="H13" i="18"/>
  <c r="N12" i="18"/>
  <c r="I12" i="18"/>
  <c r="H12" i="18"/>
  <c r="K12" i="18" s="1"/>
  <c r="N11" i="18"/>
  <c r="I11" i="18"/>
  <c r="J11" i="18" s="1"/>
  <c r="H11" i="18"/>
  <c r="N10" i="18"/>
  <c r="I10" i="18"/>
  <c r="H10" i="18"/>
  <c r="N9" i="18"/>
  <c r="I9" i="18"/>
  <c r="L9" i="18" s="1"/>
  <c r="H9" i="18"/>
  <c r="N8" i="18"/>
  <c r="I8" i="18"/>
  <c r="H8" i="18"/>
  <c r="K8" i="18" s="1"/>
  <c r="N7" i="18"/>
  <c r="I7" i="18"/>
  <c r="J7" i="18" s="1"/>
  <c r="H7" i="18"/>
  <c r="N6" i="18"/>
  <c r="I6" i="18"/>
  <c r="H6" i="18"/>
  <c r="N5" i="18"/>
  <c r="I5" i="18"/>
  <c r="L5" i="18" s="1"/>
  <c r="H5" i="18"/>
  <c r="N4" i="18"/>
  <c r="I4" i="18"/>
  <c r="H4" i="18"/>
  <c r="K4" i="18" s="1"/>
  <c r="N3" i="18"/>
  <c r="I3" i="18"/>
  <c r="J3" i="18" s="1"/>
  <c r="H3" i="18"/>
  <c r="N2" i="18"/>
  <c r="I2" i="18"/>
  <c r="H2" i="18"/>
  <c r="N144" i="17"/>
  <c r="I144" i="17"/>
  <c r="J144" i="17" s="1"/>
  <c r="H144" i="17"/>
  <c r="N143" i="17"/>
  <c r="I143" i="17"/>
  <c r="H143" i="17"/>
  <c r="M143" i="17" s="1"/>
  <c r="N142" i="17"/>
  <c r="I142" i="17"/>
  <c r="H142" i="17"/>
  <c r="N141" i="17"/>
  <c r="I141" i="17"/>
  <c r="H141" i="17"/>
  <c r="N140" i="17"/>
  <c r="I140" i="17"/>
  <c r="J140" i="17" s="1"/>
  <c r="H140" i="17"/>
  <c r="N139" i="17"/>
  <c r="I139" i="17"/>
  <c r="H139" i="17"/>
  <c r="M139" i="17" s="1"/>
  <c r="N138" i="17"/>
  <c r="I138" i="17"/>
  <c r="H138" i="17"/>
  <c r="N137" i="17"/>
  <c r="I137" i="17"/>
  <c r="H137" i="17"/>
  <c r="N136" i="17"/>
  <c r="I136" i="17"/>
  <c r="J136" i="17" s="1"/>
  <c r="H136" i="17"/>
  <c r="K136" i="17" s="1"/>
  <c r="N135" i="17"/>
  <c r="I135" i="17"/>
  <c r="L135" i="17" s="1"/>
  <c r="H135" i="17"/>
  <c r="M135" i="17" s="1"/>
  <c r="N134" i="17"/>
  <c r="I134" i="17"/>
  <c r="H134" i="17"/>
  <c r="N133" i="17"/>
  <c r="I133" i="17"/>
  <c r="H133" i="17"/>
  <c r="N132" i="17"/>
  <c r="I132" i="17"/>
  <c r="J132" i="17" s="1"/>
  <c r="H132" i="17"/>
  <c r="N131" i="17"/>
  <c r="I131" i="17"/>
  <c r="H131" i="17"/>
  <c r="M131" i="17" s="1"/>
  <c r="N130" i="17"/>
  <c r="I130" i="17"/>
  <c r="H130" i="17"/>
  <c r="N129" i="17"/>
  <c r="I129" i="17"/>
  <c r="H129" i="17"/>
  <c r="N128" i="17"/>
  <c r="I128" i="17"/>
  <c r="J128" i="17" s="1"/>
  <c r="H128" i="17"/>
  <c r="N127" i="17"/>
  <c r="I127" i="17"/>
  <c r="H127" i="17"/>
  <c r="M127" i="17" s="1"/>
  <c r="N126" i="17"/>
  <c r="I126" i="17"/>
  <c r="H126" i="17"/>
  <c r="N125" i="17"/>
  <c r="I125" i="17"/>
  <c r="H125" i="17"/>
  <c r="N124" i="17"/>
  <c r="I124" i="17"/>
  <c r="J124" i="17" s="1"/>
  <c r="H124" i="17"/>
  <c r="N123" i="17"/>
  <c r="I123" i="17"/>
  <c r="H123" i="17"/>
  <c r="M123" i="17" s="1"/>
  <c r="N122" i="17"/>
  <c r="I122" i="17"/>
  <c r="H122" i="17"/>
  <c r="K122" i="17" s="1"/>
  <c r="N121" i="17"/>
  <c r="I121" i="17"/>
  <c r="H121" i="17"/>
  <c r="N120" i="17"/>
  <c r="I120" i="17"/>
  <c r="J120" i="17" s="1"/>
  <c r="H120" i="17"/>
  <c r="K120" i="17" s="1"/>
  <c r="N119" i="17"/>
  <c r="I119" i="17"/>
  <c r="H119" i="17"/>
  <c r="M119" i="17" s="1"/>
  <c r="N118" i="17"/>
  <c r="I118" i="17"/>
  <c r="H118" i="17"/>
  <c r="N117" i="17"/>
  <c r="I117" i="17"/>
  <c r="H117" i="17"/>
  <c r="N116" i="17"/>
  <c r="I116" i="17"/>
  <c r="J116" i="17" s="1"/>
  <c r="H116" i="17"/>
  <c r="N115" i="17"/>
  <c r="I115" i="17"/>
  <c r="L115" i="17" s="1"/>
  <c r="H115" i="17"/>
  <c r="M115" i="17" s="1"/>
  <c r="N114" i="17"/>
  <c r="I114" i="17"/>
  <c r="H114" i="17"/>
  <c r="K114" i="17" s="1"/>
  <c r="N113" i="17"/>
  <c r="I113" i="17"/>
  <c r="H113" i="17"/>
  <c r="N112" i="17"/>
  <c r="I112" i="17"/>
  <c r="J112" i="17" s="1"/>
  <c r="H112" i="17"/>
  <c r="K112" i="17" s="1"/>
  <c r="N111" i="17"/>
  <c r="I111" i="17"/>
  <c r="H111" i="17"/>
  <c r="M111" i="17" s="1"/>
  <c r="N110" i="17"/>
  <c r="I110" i="17"/>
  <c r="H110" i="17"/>
  <c r="K110" i="17" s="1"/>
  <c r="N108" i="17"/>
  <c r="I108" i="17"/>
  <c r="H108" i="17"/>
  <c r="N107" i="17"/>
  <c r="I107" i="17"/>
  <c r="J107" i="17" s="1"/>
  <c r="H107" i="17"/>
  <c r="N106" i="17"/>
  <c r="I106" i="17"/>
  <c r="H106" i="17"/>
  <c r="M106" i="17" s="1"/>
  <c r="N105" i="17"/>
  <c r="I105" i="17"/>
  <c r="H105" i="17"/>
  <c r="N104" i="17"/>
  <c r="I104" i="17"/>
  <c r="H104" i="17"/>
  <c r="N103" i="17"/>
  <c r="I103" i="17"/>
  <c r="J103" i="17" s="1"/>
  <c r="H103" i="17"/>
  <c r="N102" i="17"/>
  <c r="I102" i="17"/>
  <c r="L102" i="17" s="1"/>
  <c r="H102" i="17"/>
  <c r="M102" i="17" s="1"/>
  <c r="N101" i="17"/>
  <c r="I101" i="17"/>
  <c r="H101" i="17"/>
  <c r="N100" i="17"/>
  <c r="I100" i="17"/>
  <c r="H100" i="17"/>
  <c r="N99" i="17"/>
  <c r="I99" i="17"/>
  <c r="J99" i="17" s="1"/>
  <c r="H99" i="17"/>
  <c r="N98" i="17"/>
  <c r="I98" i="17"/>
  <c r="H98" i="17"/>
  <c r="M98" i="17" s="1"/>
  <c r="N97" i="17"/>
  <c r="I97" i="17"/>
  <c r="H97" i="17"/>
  <c r="M97" i="17" s="1"/>
  <c r="N96" i="17"/>
  <c r="I96" i="17"/>
  <c r="H96" i="17"/>
  <c r="N95" i="17"/>
  <c r="I95" i="17"/>
  <c r="J95" i="17" s="1"/>
  <c r="H95" i="17"/>
  <c r="M95" i="17" s="1"/>
  <c r="N94" i="17"/>
  <c r="I94" i="17"/>
  <c r="H94" i="17"/>
  <c r="M94" i="17" s="1"/>
  <c r="N93" i="17"/>
  <c r="I93" i="17"/>
  <c r="H93" i="17"/>
  <c r="N92" i="17"/>
  <c r="I92" i="17"/>
  <c r="H92" i="17"/>
  <c r="N91" i="17"/>
  <c r="I91" i="17"/>
  <c r="J91" i="17" s="1"/>
  <c r="H91" i="17"/>
  <c r="N90" i="17"/>
  <c r="I90" i="17"/>
  <c r="H90" i="17"/>
  <c r="M90" i="17" s="1"/>
  <c r="N89" i="17"/>
  <c r="I89" i="17"/>
  <c r="H89" i="17"/>
  <c r="K89" i="17" s="1"/>
  <c r="N88" i="17"/>
  <c r="I88" i="17"/>
  <c r="H88" i="17"/>
  <c r="N87" i="17"/>
  <c r="I87" i="17"/>
  <c r="J87" i="17" s="1"/>
  <c r="H87" i="17"/>
  <c r="K87" i="17" s="1"/>
  <c r="N86" i="17"/>
  <c r="I86" i="17"/>
  <c r="H86" i="17"/>
  <c r="M86" i="17" s="1"/>
  <c r="N85" i="17"/>
  <c r="I85" i="17"/>
  <c r="H85" i="17"/>
  <c r="N84" i="17"/>
  <c r="I84" i="17"/>
  <c r="H84" i="17"/>
  <c r="N83" i="17"/>
  <c r="I83" i="17"/>
  <c r="J83" i="17" s="1"/>
  <c r="H83" i="17"/>
  <c r="N82" i="17"/>
  <c r="I82" i="17"/>
  <c r="L82" i="17" s="1"/>
  <c r="H82" i="17"/>
  <c r="M82" i="17" s="1"/>
  <c r="N81" i="17"/>
  <c r="I81" i="17"/>
  <c r="H81" i="17"/>
  <c r="K81" i="17" s="1"/>
  <c r="N80" i="17"/>
  <c r="I80" i="17"/>
  <c r="H80" i="17"/>
  <c r="N78" i="17"/>
  <c r="I78" i="17"/>
  <c r="J78" i="17" s="1"/>
  <c r="H78" i="17"/>
  <c r="K78" i="17" s="1"/>
  <c r="N77" i="17"/>
  <c r="I77" i="17"/>
  <c r="H77" i="17"/>
  <c r="N76" i="17"/>
  <c r="I76" i="17"/>
  <c r="H76" i="17"/>
  <c r="K76" i="17" s="1"/>
  <c r="N75" i="17"/>
  <c r="I75" i="17"/>
  <c r="H75" i="17"/>
  <c r="N74" i="17"/>
  <c r="I74" i="17"/>
  <c r="H74" i="17"/>
  <c r="K74" i="17" s="1"/>
  <c r="N73" i="17"/>
  <c r="I73" i="17"/>
  <c r="H73" i="17"/>
  <c r="N72" i="17"/>
  <c r="I72" i="17"/>
  <c r="H72" i="17"/>
  <c r="M72" i="17" s="1"/>
  <c r="N71" i="17"/>
  <c r="I71" i="17"/>
  <c r="H71" i="17"/>
  <c r="N70" i="17"/>
  <c r="I70" i="17"/>
  <c r="H70" i="17"/>
  <c r="M70" i="17" s="1"/>
  <c r="N69" i="17"/>
  <c r="I69" i="17"/>
  <c r="L69" i="17" s="1"/>
  <c r="H69" i="17"/>
  <c r="N68" i="17"/>
  <c r="I68" i="17"/>
  <c r="H68" i="17"/>
  <c r="N67" i="17"/>
  <c r="I67" i="17"/>
  <c r="H67" i="17"/>
  <c r="N66" i="17"/>
  <c r="I66" i="17"/>
  <c r="H66" i="17"/>
  <c r="N65" i="17"/>
  <c r="I65" i="17"/>
  <c r="H65" i="17"/>
  <c r="N64" i="17"/>
  <c r="I64" i="17"/>
  <c r="H64" i="17"/>
  <c r="M64" i="17" s="1"/>
  <c r="N63" i="17"/>
  <c r="I63" i="17"/>
  <c r="H63" i="17"/>
  <c r="N62" i="17"/>
  <c r="I62" i="17"/>
  <c r="H62" i="17"/>
  <c r="M62" i="17" s="1"/>
  <c r="N61" i="17"/>
  <c r="I61" i="17"/>
  <c r="H61" i="17"/>
  <c r="N60" i="17"/>
  <c r="I60" i="17"/>
  <c r="J60" i="17" s="1"/>
  <c r="H60" i="17"/>
  <c r="M60" i="17" s="1"/>
  <c r="N59" i="17"/>
  <c r="I59" i="17"/>
  <c r="H59" i="17"/>
  <c r="N58" i="17"/>
  <c r="I58" i="17"/>
  <c r="H58" i="17"/>
  <c r="N57" i="17"/>
  <c r="I57" i="17"/>
  <c r="L57" i="17" s="1"/>
  <c r="H57" i="17"/>
  <c r="N56" i="17"/>
  <c r="I56" i="17"/>
  <c r="H56" i="17"/>
  <c r="K56" i="17" s="1"/>
  <c r="N55" i="17"/>
  <c r="I55" i="17"/>
  <c r="L55" i="17" s="1"/>
  <c r="H55" i="17"/>
  <c r="N54" i="17"/>
  <c r="I54" i="17"/>
  <c r="L54" i="17" s="1"/>
  <c r="H54" i="17"/>
  <c r="N53" i="17"/>
  <c r="I53" i="17"/>
  <c r="L53" i="17" s="1"/>
  <c r="H53" i="17"/>
  <c r="N52" i="17"/>
  <c r="I52" i="17"/>
  <c r="J52" i="17" s="1"/>
  <c r="H52" i="17"/>
  <c r="K52" i="17" s="1"/>
  <c r="N51" i="17"/>
  <c r="I51" i="17"/>
  <c r="L51" i="17" s="1"/>
  <c r="H51" i="17"/>
  <c r="N50" i="17"/>
  <c r="I50" i="17"/>
  <c r="L50" i="17" s="1"/>
  <c r="H50" i="17"/>
  <c r="N49" i="17"/>
  <c r="I49" i="17"/>
  <c r="L49" i="17" s="1"/>
  <c r="H49" i="17"/>
  <c r="N48" i="17"/>
  <c r="I48" i="17"/>
  <c r="J48" i="17" s="1"/>
  <c r="H48" i="17"/>
  <c r="K48" i="17" s="1"/>
  <c r="N47" i="17"/>
  <c r="I47" i="17"/>
  <c r="J47" i="17" s="1"/>
  <c r="H47" i="17"/>
  <c r="N46" i="17"/>
  <c r="I46" i="17"/>
  <c r="H46" i="17"/>
  <c r="N45" i="17"/>
  <c r="I45" i="17"/>
  <c r="L45" i="17" s="1"/>
  <c r="H45" i="17"/>
  <c r="N44" i="17"/>
  <c r="I44" i="17"/>
  <c r="H44" i="17"/>
  <c r="K44" i="17" s="1"/>
  <c r="N43" i="17"/>
  <c r="I43" i="17"/>
  <c r="L43" i="17" s="1"/>
  <c r="H43" i="17"/>
  <c r="N42" i="17"/>
  <c r="I42" i="17"/>
  <c r="H42" i="17"/>
  <c r="M42" i="17" s="1"/>
  <c r="N41" i="17"/>
  <c r="I41" i="17"/>
  <c r="L41" i="17" s="1"/>
  <c r="H41" i="17"/>
  <c r="K41" i="17" s="1"/>
  <c r="N40" i="17"/>
  <c r="I40" i="17"/>
  <c r="H40" i="17"/>
  <c r="K40" i="17" s="1"/>
  <c r="N39" i="17"/>
  <c r="I39" i="17"/>
  <c r="J39" i="17" s="1"/>
  <c r="H39" i="17"/>
  <c r="M39" i="17" s="1"/>
  <c r="N38" i="17"/>
  <c r="I38" i="17"/>
  <c r="L38" i="17" s="1"/>
  <c r="H38" i="17"/>
  <c r="K38" i="17" s="1"/>
  <c r="N37" i="17"/>
  <c r="I37" i="17"/>
  <c r="L37" i="17" s="1"/>
  <c r="H37" i="17"/>
  <c r="N36" i="17"/>
  <c r="I36" i="17"/>
  <c r="J36" i="17" s="1"/>
  <c r="H36" i="17"/>
  <c r="K36" i="17" s="1"/>
  <c r="N35" i="17"/>
  <c r="I35" i="17"/>
  <c r="J35" i="17" s="1"/>
  <c r="H35" i="17"/>
  <c r="N34" i="17"/>
  <c r="I34" i="17"/>
  <c r="H34" i="17"/>
  <c r="N33" i="17"/>
  <c r="I33" i="17"/>
  <c r="L33" i="17" s="1"/>
  <c r="H33" i="17"/>
  <c r="N32" i="17"/>
  <c r="I32" i="17"/>
  <c r="H32" i="17"/>
  <c r="K32" i="17" s="1"/>
  <c r="N31" i="17"/>
  <c r="I31" i="17"/>
  <c r="J31" i="17" s="1"/>
  <c r="H31" i="17"/>
  <c r="N30" i="17"/>
  <c r="I30" i="17"/>
  <c r="L30" i="17" s="1"/>
  <c r="H30" i="17"/>
  <c r="N29" i="17"/>
  <c r="I29" i="17"/>
  <c r="L29" i="17" s="1"/>
  <c r="H29" i="17"/>
  <c r="N28" i="17"/>
  <c r="I28" i="17"/>
  <c r="J28" i="17" s="1"/>
  <c r="H28" i="17"/>
  <c r="K28" i="17" s="1"/>
  <c r="N27" i="17"/>
  <c r="I27" i="17"/>
  <c r="H27" i="17"/>
  <c r="N26" i="17"/>
  <c r="I26" i="17"/>
  <c r="H26" i="17"/>
  <c r="N25" i="17"/>
  <c r="I25" i="17"/>
  <c r="L25" i="17" s="1"/>
  <c r="H25" i="17"/>
  <c r="N24" i="17"/>
  <c r="I24" i="17"/>
  <c r="J24" i="17" s="1"/>
  <c r="H24" i="17"/>
  <c r="K24" i="17" s="1"/>
  <c r="N23" i="17"/>
  <c r="I23" i="17"/>
  <c r="H23" i="17"/>
  <c r="N22" i="17"/>
  <c r="I22" i="17"/>
  <c r="L22" i="17" s="1"/>
  <c r="H22" i="17"/>
  <c r="M22" i="17" s="1"/>
  <c r="N21" i="17"/>
  <c r="I21" i="17"/>
  <c r="L21" i="17" s="1"/>
  <c r="H21" i="17"/>
  <c r="K21" i="17" s="1"/>
  <c r="N20" i="17"/>
  <c r="I20" i="17"/>
  <c r="J20" i="17" s="1"/>
  <c r="H20" i="17"/>
  <c r="K20" i="17" s="1"/>
  <c r="N19" i="17"/>
  <c r="I19" i="17"/>
  <c r="H19" i="17"/>
  <c r="N18" i="17"/>
  <c r="I18" i="17"/>
  <c r="H18" i="17"/>
  <c r="N17" i="17"/>
  <c r="I17" i="17"/>
  <c r="L17" i="17" s="1"/>
  <c r="H17" i="17"/>
  <c r="N16" i="17"/>
  <c r="I16" i="17"/>
  <c r="H16" i="17"/>
  <c r="K16" i="17" s="1"/>
  <c r="N15" i="17"/>
  <c r="I15" i="17"/>
  <c r="J15" i="17" s="1"/>
  <c r="H15" i="17"/>
  <c r="N14" i="17"/>
  <c r="I14" i="17"/>
  <c r="L14" i="17" s="1"/>
  <c r="H14" i="17"/>
  <c r="N13" i="17"/>
  <c r="I13" i="17"/>
  <c r="L13" i="17" s="1"/>
  <c r="H13" i="17"/>
  <c r="N12" i="17"/>
  <c r="I12" i="17"/>
  <c r="J12" i="17" s="1"/>
  <c r="H12" i="17"/>
  <c r="K12" i="17" s="1"/>
  <c r="N11" i="17"/>
  <c r="I11" i="17"/>
  <c r="J11" i="17" s="1"/>
  <c r="H11" i="17"/>
  <c r="N10" i="17"/>
  <c r="I10" i="17"/>
  <c r="H10" i="17"/>
  <c r="N9" i="17"/>
  <c r="I9" i="17"/>
  <c r="L9" i="17" s="1"/>
  <c r="H9" i="17"/>
  <c r="N8" i="17"/>
  <c r="I8" i="17"/>
  <c r="H8" i="17"/>
  <c r="K8" i="17" s="1"/>
  <c r="N7" i="17"/>
  <c r="I7" i="17"/>
  <c r="H7" i="17"/>
  <c r="N6" i="17"/>
  <c r="I6" i="17"/>
  <c r="L6" i="17" s="1"/>
  <c r="H6" i="17"/>
  <c r="N5" i="17"/>
  <c r="I5" i="17"/>
  <c r="L5" i="17" s="1"/>
  <c r="H5" i="17"/>
  <c r="N4" i="17"/>
  <c r="I4" i="17"/>
  <c r="J4" i="17" s="1"/>
  <c r="H4" i="17"/>
  <c r="K4" i="17" s="1"/>
  <c r="N3" i="17"/>
  <c r="I3" i="17"/>
  <c r="J3" i="17" s="1"/>
  <c r="H3" i="17"/>
  <c r="N2" i="17"/>
  <c r="I2" i="17"/>
  <c r="H2" i="17"/>
  <c r="N144" i="4"/>
  <c r="I144" i="4"/>
  <c r="J144" i="4" s="1"/>
  <c r="H144" i="4"/>
  <c r="N143" i="4"/>
  <c r="I143" i="4"/>
  <c r="H143" i="4"/>
  <c r="M143" i="4" s="1"/>
  <c r="N142" i="4"/>
  <c r="I142" i="4"/>
  <c r="H142" i="4"/>
  <c r="N141" i="4"/>
  <c r="I141" i="4"/>
  <c r="H141" i="4"/>
  <c r="N140" i="4"/>
  <c r="I140" i="4"/>
  <c r="J140" i="4" s="1"/>
  <c r="H140" i="4"/>
  <c r="M140" i="4" s="1"/>
  <c r="N139" i="4"/>
  <c r="I139" i="4"/>
  <c r="H139" i="4"/>
  <c r="M139" i="4" s="1"/>
  <c r="N138" i="4"/>
  <c r="I138" i="4"/>
  <c r="H138" i="4"/>
  <c r="M138" i="4" s="1"/>
  <c r="N137" i="4"/>
  <c r="I137" i="4"/>
  <c r="H137" i="4"/>
  <c r="N136" i="4"/>
  <c r="I136" i="4"/>
  <c r="J136" i="4" s="1"/>
  <c r="H136" i="4"/>
  <c r="N135" i="4"/>
  <c r="I135" i="4"/>
  <c r="J135" i="4" s="1"/>
  <c r="H135" i="4"/>
  <c r="M135" i="4" s="1"/>
  <c r="N134" i="4"/>
  <c r="I134" i="4"/>
  <c r="H134" i="4"/>
  <c r="N133" i="4"/>
  <c r="I133" i="4"/>
  <c r="H133" i="4"/>
  <c r="N132" i="4"/>
  <c r="I132" i="4"/>
  <c r="J132" i="4" s="1"/>
  <c r="H132" i="4"/>
  <c r="N131" i="4"/>
  <c r="I131" i="4"/>
  <c r="L131" i="4" s="1"/>
  <c r="H131" i="4"/>
  <c r="M131" i="4" s="1"/>
  <c r="N130" i="4"/>
  <c r="I130" i="4"/>
  <c r="H130" i="4"/>
  <c r="N129" i="4"/>
  <c r="I129" i="4"/>
  <c r="J129" i="4" s="1"/>
  <c r="H129" i="4"/>
  <c r="N128" i="4"/>
  <c r="I128" i="4"/>
  <c r="J128" i="4" s="1"/>
  <c r="H128" i="4"/>
  <c r="N127" i="4"/>
  <c r="I127" i="4"/>
  <c r="L127" i="4" s="1"/>
  <c r="H127" i="4"/>
  <c r="M127" i="4" s="1"/>
  <c r="N126" i="4"/>
  <c r="I126" i="4"/>
  <c r="H126" i="4"/>
  <c r="K126" i="4" s="1"/>
  <c r="N125" i="4"/>
  <c r="I125" i="4"/>
  <c r="H125" i="4"/>
  <c r="N124" i="4"/>
  <c r="I124" i="4"/>
  <c r="J124" i="4" s="1"/>
  <c r="H124" i="4"/>
  <c r="K124" i="4" s="1"/>
  <c r="N123" i="4"/>
  <c r="I123" i="4"/>
  <c r="J123" i="4" s="1"/>
  <c r="H123" i="4"/>
  <c r="M123" i="4" s="1"/>
  <c r="N122" i="4"/>
  <c r="I122" i="4"/>
  <c r="H122" i="4"/>
  <c r="N121" i="4"/>
  <c r="I121" i="4"/>
  <c r="L121" i="4" s="1"/>
  <c r="H121" i="4"/>
  <c r="N120" i="4"/>
  <c r="I120" i="4"/>
  <c r="J120" i="4" s="1"/>
  <c r="H120" i="4"/>
  <c r="M120" i="4" s="1"/>
  <c r="N119" i="4"/>
  <c r="I119" i="4"/>
  <c r="J119" i="4" s="1"/>
  <c r="H119" i="4"/>
  <c r="M119" i="4" s="1"/>
  <c r="N118" i="4"/>
  <c r="I118" i="4"/>
  <c r="H118" i="4"/>
  <c r="M118" i="4" s="1"/>
  <c r="N117" i="4"/>
  <c r="I117" i="4"/>
  <c r="H117" i="4"/>
  <c r="N116" i="4"/>
  <c r="I116" i="4"/>
  <c r="J116" i="4" s="1"/>
  <c r="H116" i="4"/>
  <c r="M116" i="4" s="1"/>
  <c r="N115" i="4"/>
  <c r="I115" i="4"/>
  <c r="H115" i="4"/>
  <c r="M115" i="4" s="1"/>
  <c r="N114" i="4"/>
  <c r="I114" i="4"/>
  <c r="H114" i="4"/>
  <c r="N113" i="4"/>
  <c r="I113" i="4"/>
  <c r="L113" i="4" s="1"/>
  <c r="H113" i="4"/>
  <c r="N112" i="4"/>
  <c r="I112" i="4"/>
  <c r="J112" i="4" s="1"/>
  <c r="H112" i="4"/>
  <c r="N111" i="4"/>
  <c r="I111" i="4"/>
  <c r="J111" i="4" s="1"/>
  <c r="H111" i="4"/>
  <c r="M111" i="4" s="1"/>
  <c r="N110" i="4"/>
  <c r="I110" i="4"/>
  <c r="H110" i="4"/>
  <c r="N108" i="4"/>
  <c r="I108" i="4"/>
  <c r="H108" i="4"/>
  <c r="N107" i="4"/>
  <c r="I107" i="4"/>
  <c r="J107" i="4" s="1"/>
  <c r="H107" i="4"/>
  <c r="N106" i="4"/>
  <c r="I106" i="4"/>
  <c r="J106" i="4" s="1"/>
  <c r="H106" i="4"/>
  <c r="M106" i="4" s="1"/>
  <c r="N105" i="4"/>
  <c r="I105" i="4"/>
  <c r="H105" i="4"/>
  <c r="M105" i="4" s="1"/>
  <c r="N104" i="4"/>
  <c r="I104" i="4"/>
  <c r="H104" i="4"/>
  <c r="N103" i="4"/>
  <c r="I103" i="4"/>
  <c r="J103" i="4" s="1"/>
  <c r="H103" i="4"/>
  <c r="M103" i="4" s="1"/>
  <c r="N102" i="4"/>
  <c r="I102" i="4"/>
  <c r="J102" i="4" s="1"/>
  <c r="H102" i="4"/>
  <c r="M102" i="4" s="1"/>
  <c r="N101" i="4"/>
  <c r="I101" i="4"/>
  <c r="H101" i="4"/>
  <c r="K101" i="4" s="1"/>
  <c r="N100" i="4"/>
  <c r="I100" i="4"/>
  <c r="H100" i="4"/>
  <c r="N99" i="4"/>
  <c r="I99" i="4"/>
  <c r="J99" i="4" s="1"/>
  <c r="H99" i="4"/>
  <c r="N98" i="4"/>
  <c r="I98" i="4"/>
  <c r="J98" i="4" s="1"/>
  <c r="H98" i="4"/>
  <c r="M98" i="4" s="1"/>
  <c r="N97" i="4"/>
  <c r="I97" i="4"/>
  <c r="H97" i="4"/>
  <c r="N96" i="4"/>
  <c r="I96" i="4"/>
  <c r="H96" i="4"/>
  <c r="N95" i="4"/>
  <c r="I95" i="4"/>
  <c r="J95" i="4" s="1"/>
  <c r="H95" i="4"/>
  <c r="K95" i="4" s="1"/>
  <c r="N94" i="4"/>
  <c r="I94" i="4"/>
  <c r="J94" i="4" s="1"/>
  <c r="H94" i="4"/>
  <c r="M94" i="4" s="1"/>
  <c r="N93" i="4"/>
  <c r="I93" i="4"/>
  <c r="H93" i="4"/>
  <c r="K93" i="4" s="1"/>
  <c r="N92" i="4"/>
  <c r="I92" i="4"/>
  <c r="H92" i="4"/>
  <c r="N91" i="4"/>
  <c r="I91" i="4"/>
  <c r="J91" i="4" s="1"/>
  <c r="H91" i="4"/>
  <c r="N90" i="4"/>
  <c r="I90" i="4"/>
  <c r="J90" i="4" s="1"/>
  <c r="H90" i="4"/>
  <c r="M90" i="4" s="1"/>
  <c r="N89" i="4"/>
  <c r="I89" i="4"/>
  <c r="H89" i="4"/>
  <c r="N88" i="4"/>
  <c r="I88" i="4"/>
  <c r="L88" i="4" s="1"/>
  <c r="H88" i="4"/>
  <c r="N87" i="4"/>
  <c r="I87" i="4"/>
  <c r="J87" i="4" s="1"/>
  <c r="H87" i="4"/>
  <c r="M87" i="4" s="1"/>
  <c r="N86" i="4"/>
  <c r="I86" i="4"/>
  <c r="H86" i="4"/>
  <c r="M86" i="4" s="1"/>
  <c r="N85" i="4"/>
  <c r="I85" i="4"/>
  <c r="H85" i="4"/>
  <c r="M85" i="4" s="1"/>
  <c r="N84" i="4"/>
  <c r="I84" i="4"/>
  <c r="H84" i="4"/>
  <c r="N83" i="4"/>
  <c r="I83" i="4"/>
  <c r="J83" i="4" s="1"/>
  <c r="H83" i="4"/>
  <c r="M83" i="4" s="1"/>
  <c r="N82" i="4"/>
  <c r="I82" i="4"/>
  <c r="J82" i="4" s="1"/>
  <c r="H82" i="4"/>
  <c r="M82" i="4" s="1"/>
  <c r="N81" i="4"/>
  <c r="I81" i="4"/>
  <c r="H81" i="4"/>
  <c r="N80" i="4"/>
  <c r="I80" i="4"/>
  <c r="L80" i="4" s="1"/>
  <c r="H80" i="4"/>
  <c r="N78" i="4"/>
  <c r="I78" i="4"/>
  <c r="J78" i="4" s="1"/>
  <c r="H78" i="4"/>
  <c r="N77" i="4"/>
  <c r="I77" i="4"/>
  <c r="J77" i="4" s="1"/>
  <c r="H77" i="4"/>
  <c r="M77" i="4" s="1"/>
  <c r="N76" i="4"/>
  <c r="I76" i="4"/>
  <c r="H76" i="4"/>
  <c r="N75" i="4"/>
  <c r="I75" i="4"/>
  <c r="H75" i="4"/>
  <c r="N74" i="4"/>
  <c r="I74" i="4"/>
  <c r="J74" i="4" s="1"/>
  <c r="H74" i="4"/>
  <c r="N73" i="4"/>
  <c r="I73" i="4"/>
  <c r="J73" i="4" s="1"/>
  <c r="H73" i="4"/>
  <c r="M73" i="4" s="1"/>
  <c r="N72" i="4"/>
  <c r="I72" i="4"/>
  <c r="H72" i="4"/>
  <c r="N71" i="4"/>
  <c r="I71" i="4"/>
  <c r="H71" i="4"/>
  <c r="N70" i="4"/>
  <c r="I70" i="4"/>
  <c r="J70" i="4" s="1"/>
  <c r="H70" i="4"/>
  <c r="N69" i="4"/>
  <c r="I69" i="4"/>
  <c r="H69" i="4"/>
  <c r="M69" i="4" s="1"/>
  <c r="N68" i="4"/>
  <c r="I68" i="4"/>
  <c r="H68" i="4"/>
  <c r="N67" i="4"/>
  <c r="I67" i="4"/>
  <c r="H67" i="4"/>
  <c r="N66" i="4"/>
  <c r="I66" i="4"/>
  <c r="H66" i="4"/>
  <c r="N65" i="4"/>
  <c r="I65" i="4"/>
  <c r="J65" i="4" s="1"/>
  <c r="H65" i="4"/>
  <c r="N64" i="4"/>
  <c r="I64" i="4"/>
  <c r="H64" i="4"/>
  <c r="K64" i="4" s="1"/>
  <c r="N63" i="4"/>
  <c r="I63" i="4"/>
  <c r="L63" i="4" s="1"/>
  <c r="H63" i="4"/>
  <c r="N62" i="4"/>
  <c r="I62" i="4"/>
  <c r="H62" i="4"/>
  <c r="N61" i="4"/>
  <c r="I61" i="4"/>
  <c r="J61" i="4" s="1"/>
  <c r="H61" i="4"/>
  <c r="N60" i="4"/>
  <c r="I60" i="4"/>
  <c r="H60" i="4"/>
  <c r="M60" i="4" s="1"/>
  <c r="N59" i="4"/>
  <c r="I59" i="4"/>
  <c r="L59" i="4" s="1"/>
  <c r="H59" i="4"/>
  <c r="N58" i="4"/>
  <c r="I58" i="4"/>
  <c r="L58" i="4" s="1"/>
  <c r="H58" i="4"/>
  <c r="N57" i="4"/>
  <c r="I57" i="4"/>
  <c r="J57" i="4" s="1"/>
  <c r="H57" i="4"/>
  <c r="K57" i="4" s="1"/>
  <c r="N56" i="4"/>
  <c r="I56" i="4"/>
  <c r="L56" i="4" s="1"/>
  <c r="H56" i="4"/>
  <c r="M56" i="4" s="1"/>
  <c r="N55" i="4"/>
  <c r="I55" i="4"/>
  <c r="L55" i="4" s="1"/>
  <c r="H55" i="4"/>
  <c r="K55" i="4" s="1"/>
  <c r="N54" i="4"/>
  <c r="I54" i="4"/>
  <c r="L54" i="4" s="1"/>
  <c r="H54" i="4"/>
  <c r="N53" i="4"/>
  <c r="I53" i="4"/>
  <c r="J53" i="4" s="1"/>
  <c r="H53" i="4"/>
  <c r="K53" i="4" s="1"/>
  <c r="N52" i="4"/>
  <c r="I52" i="4"/>
  <c r="L52" i="4" s="1"/>
  <c r="H52" i="4"/>
  <c r="M52" i="4" s="1"/>
  <c r="N51" i="4"/>
  <c r="I51" i="4"/>
  <c r="L51" i="4" s="1"/>
  <c r="H51" i="4"/>
  <c r="K51" i="4" s="1"/>
  <c r="N50" i="4"/>
  <c r="I50" i="4"/>
  <c r="L50" i="4" s="1"/>
  <c r="H50" i="4"/>
  <c r="N49" i="4"/>
  <c r="I49" i="4"/>
  <c r="J49" i="4" s="1"/>
  <c r="H49" i="4"/>
  <c r="K49" i="4" s="1"/>
  <c r="N48" i="4"/>
  <c r="I48" i="4"/>
  <c r="H48" i="4"/>
  <c r="M48" i="4" s="1"/>
  <c r="N47" i="4"/>
  <c r="I47" i="4"/>
  <c r="L47" i="4" s="1"/>
  <c r="H47" i="4"/>
  <c r="K47" i="4" s="1"/>
  <c r="N46" i="4"/>
  <c r="I46" i="4"/>
  <c r="L46" i="4" s="1"/>
  <c r="H46" i="4"/>
  <c r="N45" i="4"/>
  <c r="I45" i="4"/>
  <c r="J45" i="4" s="1"/>
  <c r="H45" i="4"/>
  <c r="K45" i="4" s="1"/>
  <c r="N44" i="4"/>
  <c r="I44" i="4"/>
  <c r="L44" i="4" s="1"/>
  <c r="H44" i="4"/>
  <c r="M44" i="4" s="1"/>
  <c r="N43" i="4"/>
  <c r="I43" i="4"/>
  <c r="L43" i="4" s="1"/>
  <c r="H43" i="4"/>
  <c r="K43" i="4" s="1"/>
  <c r="N42" i="4"/>
  <c r="I42" i="4"/>
  <c r="L42" i="4" s="1"/>
  <c r="H42" i="4"/>
  <c r="N41" i="4"/>
  <c r="I41" i="4"/>
  <c r="J41" i="4" s="1"/>
  <c r="H41" i="4"/>
  <c r="K41" i="4" s="1"/>
  <c r="N40" i="4"/>
  <c r="I40" i="4"/>
  <c r="L40" i="4" s="1"/>
  <c r="H40" i="4"/>
  <c r="M40" i="4" s="1"/>
  <c r="N39" i="4"/>
  <c r="I39" i="4"/>
  <c r="L39" i="4" s="1"/>
  <c r="H39" i="4"/>
  <c r="K39" i="4" s="1"/>
  <c r="N38" i="4"/>
  <c r="I38" i="4"/>
  <c r="L38" i="4" s="1"/>
  <c r="H38" i="4"/>
  <c r="N37" i="4"/>
  <c r="I37" i="4"/>
  <c r="J37" i="4" s="1"/>
  <c r="H37" i="4"/>
  <c r="K37" i="4" s="1"/>
  <c r="N36" i="4"/>
  <c r="I36" i="4"/>
  <c r="L36" i="4" s="1"/>
  <c r="H36" i="4"/>
  <c r="N35" i="4"/>
  <c r="I35" i="4"/>
  <c r="L35" i="4" s="1"/>
  <c r="H35" i="4"/>
  <c r="N34" i="4"/>
  <c r="I34" i="4"/>
  <c r="L34" i="4" s="1"/>
  <c r="H34" i="4"/>
  <c r="N33" i="4"/>
  <c r="I33" i="4"/>
  <c r="J33" i="4" s="1"/>
  <c r="H33" i="4"/>
  <c r="K33" i="4" s="1"/>
  <c r="N32" i="4"/>
  <c r="I32" i="4"/>
  <c r="H32" i="4"/>
  <c r="N31" i="4"/>
  <c r="I31" i="4"/>
  <c r="L31" i="4" s="1"/>
  <c r="H31" i="4"/>
  <c r="N30" i="4"/>
  <c r="I30" i="4"/>
  <c r="L30" i="4" s="1"/>
  <c r="H30" i="4"/>
  <c r="N29" i="4"/>
  <c r="I29" i="4"/>
  <c r="J29" i="4" s="1"/>
  <c r="H29" i="4"/>
  <c r="K29" i="4" s="1"/>
  <c r="N28" i="4"/>
  <c r="I28" i="4"/>
  <c r="H28" i="4"/>
  <c r="N27" i="4"/>
  <c r="I27" i="4"/>
  <c r="L27" i="4" s="1"/>
  <c r="H27" i="4"/>
  <c r="N26" i="4"/>
  <c r="I26" i="4"/>
  <c r="L26" i="4" s="1"/>
  <c r="H26" i="4"/>
  <c r="N25" i="4"/>
  <c r="I25" i="4"/>
  <c r="J25" i="4" s="1"/>
  <c r="H25" i="4"/>
  <c r="K25" i="4" s="1"/>
  <c r="N24" i="4"/>
  <c r="I24" i="4"/>
  <c r="L24" i="4" s="1"/>
  <c r="H24" i="4"/>
  <c r="N23" i="4"/>
  <c r="I23" i="4"/>
  <c r="L23" i="4" s="1"/>
  <c r="H23" i="4"/>
  <c r="N22" i="4"/>
  <c r="I22" i="4"/>
  <c r="L22" i="4" s="1"/>
  <c r="H22" i="4"/>
  <c r="N21" i="4"/>
  <c r="I21" i="4"/>
  <c r="J21" i="4" s="1"/>
  <c r="H21" i="4"/>
  <c r="K21" i="4" s="1"/>
  <c r="N20" i="4"/>
  <c r="I20" i="4"/>
  <c r="L20" i="4" s="1"/>
  <c r="H20" i="4"/>
  <c r="N19" i="4"/>
  <c r="I19" i="4"/>
  <c r="L19" i="4" s="1"/>
  <c r="H19" i="4"/>
  <c r="K19" i="4" s="1"/>
  <c r="N18" i="4"/>
  <c r="I18" i="4"/>
  <c r="L18" i="4" s="1"/>
  <c r="H18" i="4"/>
  <c r="N17" i="4"/>
  <c r="I17" i="4"/>
  <c r="J17" i="4" s="1"/>
  <c r="H17" i="4"/>
  <c r="K17" i="4" s="1"/>
  <c r="N16" i="4"/>
  <c r="I16" i="4"/>
  <c r="H16" i="4"/>
  <c r="N15" i="4"/>
  <c r="I15" i="4"/>
  <c r="H15" i="4"/>
  <c r="N14" i="4"/>
  <c r="I14" i="4"/>
  <c r="L14" i="4" s="1"/>
  <c r="H14" i="4"/>
  <c r="N13" i="4"/>
  <c r="I13" i="4"/>
  <c r="H13" i="4"/>
  <c r="K13" i="4" s="1"/>
  <c r="N12" i="4"/>
  <c r="I12" i="4"/>
  <c r="L12" i="4" s="1"/>
  <c r="H12" i="4"/>
  <c r="N11" i="4"/>
  <c r="I11" i="4"/>
  <c r="H11" i="4"/>
  <c r="K11" i="4" s="1"/>
  <c r="N10" i="4"/>
  <c r="I10" i="4"/>
  <c r="L10" i="4" s="1"/>
  <c r="H10" i="4"/>
  <c r="N9" i="4"/>
  <c r="I9" i="4"/>
  <c r="H9" i="4"/>
  <c r="K9" i="4" s="1"/>
  <c r="N8" i="4"/>
  <c r="I8" i="4"/>
  <c r="L8" i="4" s="1"/>
  <c r="H8" i="4"/>
  <c r="M8" i="4" s="1"/>
  <c r="N7" i="4"/>
  <c r="I7" i="4"/>
  <c r="H7" i="4"/>
  <c r="K7" i="4" s="1"/>
  <c r="N6" i="4"/>
  <c r="I6" i="4"/>
  <c r="L6" i="4" s="1"/>
  <c r="H6" i="4"/>
  <c r="N5" i="4"/>
  <c r="I5" i="4"/>
  <c r="H5" i="4"/>
  <c r="K5" i="4" s="1"/>
  <c r="N4" i="4"/>
  <c r="I4" i="4"/>
  <c r="H4" i="4"/>
  <c r="N3" i="4"/>
  <c r="I3" i="4"/>
  <c r="H3" i="4"/>
  <c r="N2" i="4"/>
  <c r="I2" i="4"/>
  <c r="L2" i="4" s="1"/>
  <c r="H2" i="4"/>
  <c r="N144" i="7"/>
  <c r="I144" i="7"/>
  <c r="J144" i="7" s="1"/>
  <c r="H144" i="7"/>
  <c r="N143" i="7"/>
  <c r="I143" i="7"/>
  <c r="H143" i="7"/>
  <c r="M143" i="7" s="1"/>
  <c r="N142" i="7"/>
  <c r="I142" i="7"/>
  <c r="H142" i="7"/>
  <c r="N141" i="7"/>
  <c r="I141" i="7"/>
  <c r="L141" i="7" s="1"/>
  <c r="H141" i="7"/>
  <c r="N140" i="7"/>
  <c r="I140" i="7"/>
  <c r="J140" i="7" s="1"/>
  <c r="H140" i="7"/>
  <c r="N139" i="7"/>
  <c r="I139" i="7"/>
  <c r="L139" i="7" s="1"/>
  <c r="H139" i="7"/>
  <c r="M139" i="7" s="1"/>
  <c r="N138" i="7"/>
  <c r="I138" i="7"/>
  <c r="H138" i="7"/>
  <c r="N137" i="7"/>
  <c r="I137" i="7"/>
  <c r="J137" i="7" s="1"/>
  <c r="H137" i="7"/>
  <c r="N136" i="7"/>
  <c r="I136" i="7"/>
  <c r="J136" i="7" s="1"/>
  <c r="H136" i="7"/>
  <c r="N135" i="7"/>
  <c r="I135" i="7"/>
  <c r="L135" i="7" s="1"/>
  <c r="H135" i="7"/>
  <c r="M135" i="7" s="1"/>
  <c r="N134" i="7"/>
  <c r="I134" i="7"/>
  <c r="H134" i="7"/>
  <c r="K134" i="7" s="1"/>
  <c r="N133" i="7"/>
  <c r="I133" i="7"/>
  <c r="J133" i="7" s="1"/>
  <c r="H133" i="7"/>
  <c r="N132" i="7"/>
  <c r="I132" i="7"/>
  <c r="J132" i="7" s="1"/>
  <c r="H132" i="7"/>
  <c r="M132" i="7" s="1"/>
  <c r="N131" i="7"/>
  <c r="I131" i="7"/>
  <c r="H131" i="7"/>
  <c r="M131" i="7" s="1"/>
  <c r="N130" i="7"/>
  <c r="I130" i="7"/>
  <c r="H130" i="7"/>
  <c r="N129" i="7"/>
  <c r="I129" i="7"/>
  <c r="H129" i="7"/>
  <c r="N128" i="7"/>
  <c r="I128" i="7"/>
  <c r="H128" i="7"/>
  <c r="N127" i="7"/>
  <c r="I127" i="7"/>
  <c r="L127" i="7" s="1"/>
  <c r="H127" i="7"/>
  <c r="M127" i="7" s="1"/>
  <c r="N126" i="7"/>
  <c r="I126" i="7"/>
  <c r="H126" i="7"/>
  <c r="K126" i="7" s="1"/>
  <c r="N125" i="7"/>
  <c r="I125" i="7"/>
  <c r="H125" i="7"/>
  <c r="N124" i="7"/>
  <c r="I124" i="7"/>
  <c r="J124" i="7" s="1"/>
  <c r="H124" i="7"/>
  <c r="N123" i="7"/>
  <c r="I123" i="7"/>
  <c r="L123" i="7" s="1"/>
  <c r="H123" i="7"/>
  <c r="M123" i="7" s="1"/>
  <c r="N122" i="7"/>
  <c r="I122" i="7"/>
  <c r="H122" i="7"/>
  <c r="N121" i="7"/>
  <c r="I121" i="7"/>
  <c r="J121" i="7" s="1"/>
  <c r="H121" i="7"/>
  <c r="N120" i="7"/>
  <c r="I120" i="7"/>
  <c r="J120" i="7" s="1"/>
  <c r="H120" i="7"/>
  <c r="N119" i="7"/>
  <c r="I119" i="7"/>
  <c r="H119" i="7"/>
  <c r="M119" i="7" s="1"/>
  <c r="N118" i="7"/>
  <c r="I118" i="7"/>
  <c r="H118" i="7"/>
  <c r="N117" i="7"/>
  <c r="I117" i="7"/>
  <c r="H117" i="7"/>
  <c r="N116" i="7"/>
  <c r="I116" i="7"/>
  <c r="J116" i="7" s="1"/>
  <c r="H116" i="7"/>
  <c r="N115" i="7"/>
  <c r="I115" i="7"/>
  <c r="J115" i="7" s="1"/>
  <c r="H115" i="7"/>
  <c r="M115" i="7" s="1"/>
  <c r="N114" i="7"/>
  <c r="I114" i="7"/>
  <c r="H114" i="7"/>
  <c r="N113" i="7"/>
  <c r="I113" i="7"/>
  <c r="L113" i="7" s="1"/>
  <c r="H113" i="7"/>
  <c r="N112" i="7"/>
  <c r="I112" i="7"/>
  <c r="J112" i="7" s="1"/>
  <c r="H112" i="7"/>
  <c r="N111" i="7"/>
  <c r="I111" i="7"/>
  <c r="H111" i="7"/>
  <c r="M111" i="7" s="1"/>
  <c r="N110" i="7"/>
  <c r="I110" i="7"/>
  <c r="H110" i="7"/>
  <c r="K110" i="7" s="1"/>
  <c r="N108" i="7"/>
  <c r="I108" i="7"/>
  <c r="L108" i="7" s="1"/>
  <c r="H108" i="7"/>
  <c r="N107" i="7"/>
  <c r="I107" i="7"/>
  <c r="J107" i="7" s="1"/>
  <c r="H107" i="7"/>
  <c r="N106" i="7"/>
  <c r="I106" i="7"/>
  <c r="L106" i="7" s="1"/>
  <c r="H106" i="7"/>
  <c r="M106" i="7" s="1"/>
  <c r="N105" i="7"/>
  <c r="I105" i="7"/>
  <c r="H105" i="7"/>
  <c r="N104" i="7"/>
  <c r="I104" i="7"/>
  <c r="H104" i="7"/>
  <c r="N103" i="7"/>
  <c r="I103" i="7"/>
  <c r="J103" i="7" s="1"/>
  <c r="H103" i="7"/>
  <c r="M103" i="7" s="1"/>
  <c r="N102" i="7"/>
  <c r="I102" i="7"/>
  <c r="J102" i="7" s="1"/>
  <c r="H102" i="7"/>
  <c r="M102" i="7" s="1"/>
  <c r="N101" i="7"/>
  <c r="I101" i="7"/>
  <c r="H101" i="7"/>
  <c r="N100" i="7"/>
  <c r="I100" i="7"/>
  <c r="L100" i="7" s="1"/>
  <c r="H100" i="7"/>
  <c r="N99" i="7"/>
  <c r="I99" i="7"/>
  <c r="J99" i="7" s="1"/>
  <c r="H99" i="7"/>
  <c r="N98" i="7"/>
  <c r="I98" i="7"/>
  <c r="J98" i="7" s="1"/>
  <c r="H98" i="7"/>
  <c r="M98" i="7" s="1"/>
  <c r="N97" i="7"/>
  <c r="I97" i="7"/>
  <c r="H97" i="7"/>
  <c r="M97" i="7" s="1"/>
  <c r="N96" i="7"/>
  <c r="I96" i="7"/>
  <c r="H96" i="7"/>
  <c r="N95" i="7"/>
  <c r="I95" i="7"/>
  <c r="J95" i="7" s="1"/>
  <c r="H95" i="7"/>
  <c r="M95" i="7" s="1"/>
  <c r="N94" i="7"/>
  <c r="I94" i="7"/>
  <c r="H94" i="7"/>
  <c r="M94" i="7" s="1"/>
  <c r="N93" i="7"/>
  <c r="I93" i="7"/>
  <c r="H93" i="7"/>
  <c r="N92" i="7"/>
  <c r="I92" i="7"/>
  <c r="L92" i="7" s="1"/>
  <c r="H92" i="7"/>
  <c r="N91" i="7"/>
  <c r="I91" i="7"/>
  <c r="J91" i="7" s="1"/>
  <c r="H91" i="7"/>
  <c r="N90" i="7"/>
  <c r="I90" i="7"/>
  <c r="L90" i="7" s="1"/>
  <c r="H90" i="7"/>
  <c r="M90" i="7" s="1"/>
  <c r="N89" i="7"/>
  <c r="I89" i="7"/>
  <c r="H89" i="7"/>
  <c r="M89" i="7" s="1"/>
  <c r="N88" i="7"/>
  <c r="I88" i="7"/>
  <c r="L88" i="7" s="1"/>
  <c r="H88" i="7"/>
  <c r="N87" i="7"/>
  <c r="I87" i="7"/>
  <c r="J87" i="7" s="1"/>
  <c r="H87" i="7"/>
  <c r="N86" i="7"/>
  <c r="I86" i="7"/>
  <c r="L86" i="7" s="1"/>
  <c r="H86" i="7"/>
  <c r="M86" i="7" s="1"/>
  <c r="N85" i="7"/>
  <c r="I85" i="7"/>
  <c r="H85" i="7"/>
  <c r="M85" i="7" s="1"/>
  <c r="N84" i="7"/>
  <c r="I84" i="7"/>
  <c r="L84" i="7" s="1"/>
  <c r="H84" i="7"/>
  <c r="N83" i="7"/>
  <c r="I83" i="7"/>
  <c r="J83" i="7" s="1"/>
  <c r="H83" i="7"/>
  <c r="M83" i="7" s="1"/>
  <c r="N82" i="7"/>
  <c r="I82" i="7"/>
  <c r="L82" i="7" s="1"/>
  <c r="H82" i="7"/>
  <c r="M82" i="7" s="1"/>
  <c r="N81" i="7"/>
  <c r="I81" i="7"/>
  <c r="H81" i="7"/>
  <c r="N80" i="7"/>
  <c r="I80" i="7"/>
  <c r="H80" i="7"/>
  <c r="N78" i="7"/>
  <c r="I78" i="7"/>
  <c r="J78" i="7" s="1"/>
  <c r="H78" i="7"/>
  <c r="N77" i="7"/>
  <c r="I77" i="7"/>
  <c r="L77" i="7" s="1"/>
  <c r="H77" i="7"/>
  <c r="M77" i="7" s="1"/>
  <c r="N76" i="7"/>
  <c r="I76" i="7"/>
  <c r="H76" i="7"/>
  <c r="K76" i="7" s="1"/>
  <c r="N75" i="7"/>
  <c r="I75" i="7"/>
  <c r="L75" i="7" s="1"/>
  <c r="H75" i="7"/>
  <c r="N74" i="7"/>
  <c r="I74" i="7"/>
  <c r="J74" i="7" s="1"/>
  <c r="H74" i="7"/>
  <c r="N73" i="7"/>
  <c r="I73" i="7"/>
  <c r="J73" i="7" s="1"/>
  <c r="H73" i="7"/>
  <c r="M73" i="7" s="1"/>
  <c r="N72" i="7"/>
  <c r="I72" i="7"/>
  <c r="H72" i="7"/>
  <c r="N71" i="7"/>
  <c r="I71" i="7"/>
  <c r="L71" i="7" s="1"/>
  <c r="H71" i="7"/>
  <c r="N70" i="7"/>
  <c r="I70" i="7"/>
  <c r="J70" i="7" s="1"/>
  <c r="H70" i="7"/>
  <c r="N69" i="7"/>
  <c r="I69" i="7"/>
  <c r="L69" i="7" s="1"/>
  <c r="H69" i="7"/>
  <c r="M69" i="7" s="1"/>
  <c r="N68" i="7"/>
  <c r="I68" i="7"/>
  <c r="H68" i="7"/>
  <c r="N67" i="7"/>
  <c r="I67" i="7"/>
  <c r="L67" i="7" s="1"/>
  <c r="H67" i="7"/>
  <c r="N66" i="7"/>
  <c r="I66" i="7"/>
  <c r="H66" i="7"/>
  <c r="N65" i="7"/>
  <c r="I65" i="7"/>
  <c r="J65" i="7" s="1"/>
  <c r="H65" i="7"/>
  <c r="N64" i="7"/>
  <c r="I64" i="7"/>
  <c r="H64" i="7"/>
  <c r="K64" i="7" s="1"/>
  <c r="N63" i="7"/>
  <c r="I63" i="7"/>
  <c r="H63" i="7"/>
  <c r="N62" i="7"/>
  <c r="I62" i="7"/>
  <c r="H62" i="7"/>
  <c r="N61" i="7"/>
  <c r="I61" i="7"/>
  <c r="J61" i="7" s="1"/>
  <c r="H61" i="7"/>
  <c r="N60" i="7"/>
  <c r="I60" i="7"/>
  <c r="H60" i="7"/>
  <c r="N59" i="7"/>
  <c r="I59" i="7"/>
  <c r="H59" i="7"/>
  <c r="N58" i="7"/>
  <c r="I58" i="7"/>
  <c r="L58" i="7" s="1"/>
  <c r="H58" i="7"/>
  <c r="N57" i="7"/>
  <c r="I57" i="7"/>
  <c r="L57" i="7" s="1"/>
  <c r="H57" i="7"/>
  <c r="K57" i="7" s="1"/>
  <c r="N56" i="7"/>
  <c r="I56" i="7"/>
  <c r="J56" i="7" s="1"/>
  <c r="H56" i="7"/>
  <c r="K56" i="7" s="1"/>
  <c r="N55" i="7"/>
  <c r="I55" i="7"/>
  <c r="J55" i="7" s="1"/>
  <c r="H55" i="7"/>
  <c r="M55" i="7" s="1"/>
  <c r="N54" i="7"/>
  <c r="I54" i="7"/>
  <c r="L54" i="7" s="1"/>
  <c r="H54" i="7"/>
  <c r="N53" i="7"/>
  <c r="I53" i="7"/>
  <c r="L53" i="7" s="1"/>
  <c r="H53" i="7"/>
  <c r="K53" i="7" s="1"/>
  <c r="N52" i="7"/>
  <c r="I52" i="7"/>
  <c r="J52" i="7" s="1"/>
  <c r="H52" i="7"/>
  <c r="N51" i="7"/>
  <c r="I51" i="7"/>
  <c r="J51" i="7" s="1"/>
  <c r="H51" i="7"/>
  <c r="M51" i="7" s="1"/>
  <c r="N50" i="7"/>
  <c r="I50" i="7"/>
  <c r="L50" i="7" s="1"/>
  <c r="H50" i="7"/>
  <c r="M50" i="7" s="1"/>
  <c r="N49" i="7"/>
  <c r="I49" i="7"/>
  <c r="L49" i="7" s="1"/>
  <c r="H49" i="7"/>
  <c r="K49" i="7" s="1"/>
  <c r="N48" i="7"/>
  <c r="I48" i="7"/>
  <c r="J48" i="7" s="1"/>
  <c r="H48" i="7"/>
  <c r="M48" i="7" s="1"/>
  <c r="N47" i="7"/>
  <c r="I47" i="7"/>
  <c r="H47" i="7"/>
  <c r="M47" i="7" s="1"/>
  <c r="N46" i="7"/>
  <c r="I46" i="7"/>
  <c r="L46" i="7" s="1"/>
  <c r="H46" i="7"/>
  <c r="M46" i="7" s="1"/>
  <c r="N45" i="7"/>
  <c r="I45" i="7"/>
  <c r="L45" i="7" s="1"/>
  <c r="H45" i="7"/>
  <c r="K45" i="7" s="1"/>
  <c r="N44" i="7"/>
  <c r="I44" i="7"/>
  <c r="J44" i="7" s="1"/>
  <c r="H44" i="7"/>
  <c r="M44" i="7" s="1"/>
  <c r="N43" i="7"/>
  <c r="I43" i="7"/>
  <c r="J43" i="7" s="1"/>
  <c r="H43" i="7"/>
  <c r="M43" i="7" s="1"/>
  <c r="N42" i="7"/>
  <c r="I42" i="7"/>
  <c r="L42" i="7" s="1"/>
  <c r="H42" i="7"/>
  <c r="K42" i="7" s="1"/>
  <c r="N41" i="7"/>
  <c r="I41" i="7"/>
  <c r="L41" i="7" s="1"/>
  <c r="H41" i="7"/>
  <c r="K41" i="7" s="1"/>
  <c r="N40" i="7"/>
  <c r="I40" i="7"/>
  <c r="J40" i="7" s="1"/>
  <c r="H40" i="7"/>
  <c r="K40" i="7" s="1"/>
  <c r="N39" i="7"/>
  <c r="I39" i="7"/>
  <c r="J39" i="7" s="1"/>
  <c r="H39" i="7"/>
  <c r="M39" i="7" s="1"/>
  <c r="N38" i="7"/>
  <c r="I38" i="7"/>
  <c r="L38" i="7" s="1"/>
  <c r="H38" i="7"/>
  <c r="M38" i="7" s="1"/>
  <c r="N37" i="7"/>
  <c r="I37" i="7"/>
  <c r="L37" i="7" s="1"/>
  <c r="H37" i="7"/>
  <c r="K37" i="7" s="1"/>
  <c r="N36" i="7"/>
  <c r="I36" i="7"/>
  <c r="J36" i="7" s="1"/>
  <c r="H36" i="7"/>
  <c r="N35" i="7"/>
  <c r="I35" i="7"/>
  <c r="H35" i="7"/>
  <c r="M35" i="7" s="1"/>
  <c r="N34" i="7"/>
  <c r="I34" i="7"/>
  <c r="L34" i="7" s="1"/>
  <c r="H34" i="7"/>
  <c r="K34" i="7" s="1"/>
  <c r="N33" i="7"/>
  <c r="I33" i="7"/>
  <c r="L33" i="7" s="1"/>
  <c r="H33" i="7"/>
  <c r="K33" i="7" s="1"/>
  <c r="N32" i="7"/>
  <c r="I32" i="7"/>
  <c r="J32" i="7" s="1"/>
  <c r="H32" i="7"/>
  <c r="K32" i="7" s="1"/>
  <c r="N31" i="7"/>
  <c r="I31" i="7"/>
  <c r="L31" i="7" s="1"/>
  <c r="H31" i="7"/>
  <c r="M31" i="7" s="1"/>
  <c r="N30" i="7"/>
  <c r="I30" i="7"/>
  <c r="L30" i="7" s="1"/>
  <c r="H30" i="7"/>
  <c r="K30" i="7" s="1"/>
  <c r="N29" i="7"/>
  <c r="I29" i="7"/>
  <c r="L29" i="7" s="1"/>
  <c r="H29" i="7"/>
  <c r="K29" i="7" s="1"/>
  <c r="N28" i="7"/>
  <c r="I28" i="7"/>
  <c r="J28" i="7" s="1"/>
  <c r="H28" i="7"/>
  <c r="M28" i="7" s="1"/>
  <c r="N27" i="7"/>
  <c r="I27" i="7"/>
  <c r="H27" i="7"/>
  <c r="M27" i="7" s="1"/>
  <c r="N26" i="7"/>
  <c r="I26" i="7"/>
  <c r="L26" i="7" s="1"/>
  <c r="H26" i="7"/>
  <c r="N25" i="7"/>
  <c r="I25" i="7"/>
  <c r="L25" i="7" s="1"/>
  <c r="H25" i="7"/>
  <c r="K25" i="7" s="1"/>
  <c r="N24" i="7"/>
  <c r="I24" i="7"/>
  <c r="J24" i="7" s="1"/>
  <c r="H24" i="7"/>
  <c r="K24" i="7" s="1"/>
  <c r="N23" i="7"/>
  <c r="I23" i="7"/>
  <c r="L23" i="7" s="1"/>
  <c r="H23" i="7"/>
  <c r="M23" i="7" s="1"/>
  <c r="N22" i="7"/>
  <c r="I22" i="7"/>
  <c r="L22" i="7" s="1"/>
  <c r="H22" i="7"/>
  <c r="N21" i="7"/>
  <c r="I21" i="7"/>
  <c r="L21" i="7" s="1"/>
  <c r="H21" i="7"/>
  <c r="K21" i="7" s="1"/>
  <c r="N20" i="7"/>
  <c r="I20" i="7"/>
  <c r="J20" i="7" s="1"/>
  <c r="H20" i="7"/>
  <c r="N19" i="7"/>
  <c r="I19" i="7"/>
  <c r="J19" i="7" s="1"/>
  <c r="H19" i="7"/>
  <c r="M19" i="7" s="1"/>
  <c r="N18" i="7"/>
  <c r="I18" i="7"/>
  <c r="L18" i="7" s="1"/>
  <c r="H18" i="7"/>
  <c r="M18" i="7" s="1"/>
  <c r="N17" i="7"/>
  <c r="I17" i="7"/>
  <c r="L17" i="7" s="1"/>
  <c r="H17" i="7"/>
  <c r="K17" i="7" s="1"/>
  <c r="N16" i="7"/>
  <c r="I16" i="7"/>
  <c r="J16" i="7" s="1"/>
  <c r="H16" i="7"/>
  <c r="M16" i="7" s="1"/>
  <c r="N15" i="7"/>
  <c r="I15" i="7"/>
  <c r="H15" i="7"/>
  <c r="M15" i="7" s="1"/>
  <c r="N14" i="7"/>
  <c r="I14" i="7"/>
  <c r="L14" i="7" s="1"/>
  <c r="H14" i="7"/>
  <c r="K14" i="7" s="1"/>
  <c r="N13" i="7"/>
  <c r="I13" i="7"/>
  <c r="L13" i="7" s="1"/>
  <c r="H13" i="7"/>
  <c r="K13" i="7" s="1"/>
  <c r="N12" i="7"/>
  <c r="I12" i="7"/>
  <c r="J12" i="7" s="1"/>
  <c r="H12" i="7"/>
  <c r="N11" i="7"/>
  <c r="I11" i="7"/>
  <c r="J11" i="7" s="1"/>
  <c r="H11" i="7"/>
  <c r="M11" i="7" s="1"/>
  <c r="N10" i="7"/>
  <c r="I10" i="7"/>
  <c r="L10" i="7" s="1"/>
  <c r="H10" i="7"/>
  <c r="N9" i="7"/>
  <c r="I9" i="7"/>
  <c r="L9" i="7" s="1"/>
  <c r="H9" i="7"/>
  <c r="K9" i="7" s="1"/>
  <c r="N8" i="7"/>
  <c r="I8" i="7"/>
  <c r="J8" i="7" s="1"/>
  <c r="H8" i="7"/>
  <c r="N7" i="7"/>
  <c r="I7" i="7"/>
  <c r="L7" i="7" s="1"/>
  <c r="H7" i="7"/>
  <c r="M7" i="7" s="1"/>
  <c r="N6" i="7"/>
  <c r="I6" i="7"/>
  <c r="L6" i="7" s="1"/>
  <c r="H6" i="7"/>
  <c r="K6" i="7" s="1"/>
  <c r="N5" i="7"/>
  <c r="I5" i="7"/>
  <c r="L5" i="7" s="1"/>
  <c r="H5" i="7"/>
  <c r="K5" i="7" s="1"/>
  <c r="N4" i="7"/>
  <c r="I4" i="7"/>
  <c r="J4" i="7" s="1"/>
  <c r="H4" i="7"/>
  <c r="N3" i="7"/>
  <c r="I3" i="7"/>
  <c r="J3" i="7" s="1"/>
  <c r="H3" i="7"/>
  <c r="M3" i="7" s="1"/>
  <c r="N2" i="7"/>
  <c r="I2" i="7"/>
  <c r="L2" i="7" s="1"/>
  <c r="H2" i="7"/>
  <c r="K2" i="7" s="1"/>
  <c r="N144" i="14"/>
  <c r="I144" i="14"/>
  <c r="J144" i="14" s="1"/>
  <c r="H144" i="14"/>
  <c r="N143" i="14"/>
  <c r="I143" i="14"/>
  <c r="L143" i="14" s="1"/>
  <c r="H143" i="14"/>
  <c r="M143" i="14" s="1"/>
  <c r="N142" i="14"/>
  <c r="I142" i="14"/>
  <c r="H142" i="14"/>
  <c r="M142" i="14" s="1"/>
  <c r="N141" i="14"/>
  <c r="I141" i="14"/>
  <c r="H141" i="14"/>
  <c r="N140" i="14"/>
  <c r="I140" i="14"/>
  <c r="J140" i="14" s="1"/>
  <c r="H140" i="14"/>
  <c r="M140" i="14" s="1"/>
  <c r="N139" i="14"/>
  <c r="I139" i="14"/>
  <c r="L139" i="14" s="1"/>
  <c r="H139" i="14"/>
  <c r="M139" i="14" s="1"/>
  <c r="N138" i="14"/>
  <c r="I138" i="14"/>
  <c r="H138" i="14"/>
  <c r="K138" i="14" s="1"/>
  <c r="N137" i="14"/>
  <c r="I137" i="14"/>
  <c r="H137" i="14"/>
  <c r="N136" i="14"/>
  <c r="I136" i="14"/>
  <c r="J136" i="14" s="1"/>
  <c r="H136" i="14"/>
  <c r="N135" i="14"/>
  <c r="I135" i="14"/>
  <c r="L135" i="14" s="1"/>
  <c r="H135" i="14"/>
  <c r="M135" i="14" s="1"/>
  <c r="N134" i="14"/>
  <c r="I134" i="14"/>
  <c r="H134" i="14"/>
  <c r="N133" i="14"/>
  <c r="I133" i="14"/>
  <c r="H133" i="14"/>
  <c r="N132" i="14"/>
  <c r="I132" i="14"/>
  <c r="J132" i="14" s="1"/>
  <c r="H132" i="14"/>
  <c r="M132" i="14" s="1"/>
  <c r="N131" i="14"/>
  <c r="I131" i="14"/>
  <c r="J131" i="14" s="1"/>
  <c r="H131" i="14"/>
  <c r="M131" i="14" s="1"/>
  <c r="N130" i="14"/>
  <c r="I130" i="14"/>
  <c r="H130" i="14"/>
  <c r="N129" i="14"/>
  <c r="I129" i="14"/>
  <c r="H129" i="14"/>
  <c r="N128" i="14"/>
  <c r="I128" i="14"/>
  <c r="J128" i="14" s="1"/>
  <c r="H128" i="14"/>
  <c r="M128" i="14" s="1"/>
  <c r="N127" i="14"/>
  <c r="I127" i="14"/>
  <c r="L127" i="14" s="1"/>
  <c r="H127" i="14"/>
  <c r="M127" i="14" s="1"/>
  <c r="N126" i="14"/>
  <c r="I126" i="14"/>
  <c r="H126" i="14"/>
  <c r="N125" i="14"/>
  <c r="I125" i="14"/>
  <c r="H125" i="14"/>
  <c r="N124" i="14"/>
  <c r="I124" i="14"/>
  <c r="J124" i="14" s="1"/>
  <c r="H124" i="14"/>
  <c r="M124" i="14" s="1"/>
  <c r="N123" i="14"/>
  <c r="I123" i="14"/>
  <c r="L123" i="14" s="1"/>
  <c r="H123" i="14"/>
  <c r="M123" i="14" s="1"/>
  <c r="N122" i="14"/>
  <c r="I122" i="14"/>
  <c r="H122" i="14"/>
  <c r="M122" i="14" s="1"/>
  <c r="N121" i="14"/>
  <c r="I121" i="14"/>
  <c r="H121" i="14"/>
  <c r="N120" i="14"/>
  <c r="I120" i="14"/>
  <c r="J120" i="14" s="1"/>
  <c r="H120" i="14"/>
  <c r="M120" i="14" s="1"/>
  <c r="N119" i="14"/>
  <c r="I119" i="14"/>
  <c r="J119" i="14" s="1"/>
  <c r="H119" i="14"/>
  <c r="M119" i="14" s="1"/>
  <c r="N118" i="14"/>
  <c r="I118" i="14"/>
  <c r="H118" i="14"/>
  <c r="N117" i="14"/>
  <c r="I117" i="14"/>
  <c r="H117" i="14"/>
  <c r="N116" i="14"/>
  <c r="I116" i="14"/>
  <c r="J116" i="14" s="1"/>
  <c r="H116" i="14"/>
  <c r="N115" i="14"/>
  <c r="I115" i="14"/>
  <c r="L115" i="14" s="1"/>
  <c r="H115" i="14"/>
  <c r="M115" i="14" s="1"/>
  <c r="N114" i="14"/>
  <c r="I114" i="14"/>
  <c r="H114" i="14"/>
  <c r="M114" i="14" s="1"/>
  <c r="N113" i="14"/>
  <c r="I113" i="14"/>
  <c r="H113" i="14"/>
  <c r="N112" i="14"/>
  <c r="I112" i="14"/>
  <c r="J112" i="14" s="1"/>
  <c r="H112" i="14"/>
  <c r="N111" i="14"/>
  <c r="I111" i="14"/>
  <c r="H111" i="14"/>
  <c r="M111" i="14" s="1"/>
  <c r="N110" i="14"/>
  <c r="I110" i="14"/>
  <c r="H110" i="14"/>
  <c r="M110" i="14" s="1"/>
  <c r="N108" i="14"/>
  <c r="I108" i="14"/>
  <c r="H108" i="14"/>
  <c r="N107" i="14"/>
  <c r="I107" i="14"/>
  <c r="J107" i="14" s="1"/>
  <c r="H107" i="14"/>
  <c r="N106" i="14"/>
  <c r="I106" i="14"/>
  <c r="J106" i="14" s="1"/>
  <c r="H106" i="14"/>
  <c r="M106" i="14" s="1"/>
  <c r="N105" i="14"/>
  <c r="I105" i="14"/>
  <c r="H105" i="14"/>
  <c r="K105" i="14" s="1"/>
  <c r="N104" i="14"/>
  <c r="I104" i="14"/>
  <c r="H104" i="14"/>
  <c r="N103" i="14"/>
  <c r="I103" i="14"/>
  <c r="J103" i="14" s="1"/>
  <c r="H103" i="14"/>
  <c r="K103" i="14" s="1"/>
  <c r="N102" i="14"/>
  <c r="I102" i="14"/>
  <c r="L102" i="14" s="1"/>
  <c r="H102" i="14"/>
  <c r="M102" i="14" s="1"/>
  <c r="N101" i="14"/>
  <c r="I101" i="14"/>
  <c r="H101" i="14"/>
  <c r="N100" i="14"/>
  <c r="I100" i="14"/>
  <c r="J100" i="14" s="1"/>
  <c r="H100" i="14"/>
  <c r="N99" i="14"/>
  <c r="I99" i="14"/>
  <c r="H99" i="14"/>
  <c r="N98" i="14"/>
  <c r="I98" i="14"/>
  <c r="L98" i="14" s="1"/>
  <c r="H98" i="14"/>
  <c r="N97" i="14"/>
  <c r="I97" i="14"/>
  <c r="H97" i="14"/>
  <c r="N96" i="14"/>
  <c r="I96" i="14"/>
  <c r="J96" i="14" s="1"/>
  <c r="H96" i="14"/>
  <c r="N95" i="14"/>
  <c r="I95" i="14"/>
  <c r="H95" i="14"/>
  <c r="M95" i="14" s="1"/>
  <c r="N94" i="14"/>
  <c r="I94" i="14"/>
  <c r="L94" i="14" s="1"/>
  <c r="H94" i="14"/>
  <c r="M94" i="14" s="1"/>
  <c r="N93" i="14"/>
  <c r="I93" i="14"/>
  <c r="H93" i="14"/>
  <c r="N92" i="14"/>
  <c r="I92" i="14"/>
  <c r="J92" i="14" s="1"/>
  <c r="H92" i="14"/>
  <c r="N91" i="14"/>
  <c r="I91" i="14"/>
  <c r="H91" i="14"/>
  <c r="N90" i="14"/>
  <c r="I90" i="14"/>
  <c r="L90" i="14" s="1"/>
  <c r="H90" i="14"/>
  <c r="M90" i="14" s="1"/>
  <c r="N89" i="14"/>
  <c r="I89" i="14"/>
  <c r="H89" i="14"/>
  <c r="M89" i="14" s="1"/>
  <c r="N88" i="14"/>
  <c r="I88" i="14"/>
  <c r="J88" i="14" s="1"/>
  <c r="H88" i="14"/>
  <c r="N87" i="14"/>
  <c r="I87" i="14"/>
  <c r="H87" i="14"/>
  <c r="N86" i="14"/>
  <c r="I86" i="14"/>
  <c r="L86" i="14" s="1"/>
  <c r="H86" i="14"/>
  <c r="N85" i="14"/>
  <c r="I85" i="14"/>
  <c r="L85" i="14" s="1"/>
  <c r="H85" i="14"/>
  <c r="N84" i="14"/>
  <c r="I84" i="14"/>
  <c r="H84" i="14"/>
  <c r="N83" i="14"/>
  <c r="I83" i="14"/>
  <c r="H83" i="14"/>
  <c r="N82" i="14"/>
  <c r="I82" i="14"/>
  <c r="H82" i="14"/>
  <c r="N81" i="14"/>
  <c r="I81" i="14"/>
  <c r="L81" i="14" s="1"/>
  <c r="H81" i="14"/>
  <c r="N80" i="14"/>
  <c r="I80" i="14"/>
  <c r="J80" i="14" s="1"/>
  <c r="H80" i="14"/>
  <c r="K80" i="14" s="1"/>
  <c r="N78" i="14"/>
  <c r="I78" i="14"/>
  <c r="H78" i="14"/>
  <c r="M78" i="14" s="1"/>
  <c r="N77" i="14"/>
  <c r="I77" i="14"/>
  <c r="J77" i="14" s="1"/>
  <c r="H77" i="14"/>
  <c r="N76" i="14"/>
  <c r="I76" i="14"/>
  <c r="L76" i="14" s="1"/>
  <c r="H76" i="14"/>
  <c r="N75" i="14"/>
  <c r="I75" i="14"/>
  <c r="H75" i="14"/>
  <c r="K75" i="14" s="1"/>
  <c r="N74" i="14"/>
  <c r="I74" i="14"/>
  <c r="H74" i="14"/>
  <c r="M74" i="14" s="1"/>
  <c r="N73" i="14"/>
  <c r="I73" i="14"/>
  <c r="H73" i="14"/>
  <c r="N72" i="14"/>
  <c r="I72" i="14"/>
  <c r="L72" i="14" s="1"/>
  <c r="H72" i="14"/>
  <c r="M72" i="14" s="1"/>
  <c r="N71" i="14"/>
  <c r="I71" i="14"/>
  <c r="L71" i="14" s="1"/>
  <c r="H71" i="14"/>
  <c r="K71" i="14" s="1"/>
  <c r="N70" i="14"/>
  <c r="I70" i="14"/>
  <c r="H70" i="14"/>
  <c r="N69" i="14"/>
  <c r="I69" i="14"/>
  <c r="H69" i="14"/>
  <c r="M69" i="14" s="1"/>
  <c r="N68" i="14"/>
  <c r="I68" i="14"/>
  <c r="H68" i="14"/>
  <c r="M68" i="14" s="1"/>
  <c r="N67" i="14"/>
  <c r="I67" i="14"/>
  <c r="L67" i="14" s="1"/>
  <c r="H67" i="14"/>
  <c r="K67" i="14" s="1"/>
  <c r="N66" i="14"/>
  <c r="I66" i="14"/>
  <c r="H66" i="14"/>
  <c r="M66" i="14" s="1"/>
  <c r="N65" i="14"/>
  <c r="I65" i="14"/>
  <c r="L65" i="14" s="1"/>
  <c r="H65" i="14"/>
  <c r="M65" i="14" s="1"/>
  <c r="N64" i="14"/>
  <c r="I64" i="14"/>
  <c r="L64" i="14" s="1"/>
  <c r="H64" i="14"/>
  <c r="N63" i="14"/>
  <c r="I63" i="14"/>
  <c r="L63" i="14" s="1"/>
  <c r="H63" i="14"/>
  <c r="K63" i="14" s="1"/>
  <c r="N62" i="14"/>
  <c r="I62" i="14"/>
  <c r="H62" i="14"/>
  <c r="N61" i="14"/>
  <c r="I61" i="14"/>
  <c r="H61" i="14"/>
  <c r="M61" i="14" s="1"/>
  <c r="N60" i="14"/>
  <c r="I60" i="14"/>
  <c r="H60" i="14"/>
  <c r="M60" i="14" s="1"/>
  <c r="N59" i="14"/>
  <c r="I59" i="14"/>
  <c r="L59" i="14" s="1"/>
  <c r="H59" i="14"/>
  <c r="K59" i="14" s="1"/>
  <c r="N58" i="14"/>
  <c r="I58" i="14"/>
  <c r="J58" i="14" s="1"/>
  <c r="H58" i="14"/>
  <c r="K58" i="14" s="1"/>
  <c r="N57" i="14"/>
  <c r="I57" i="14"/>
  <c r="J57" i="14" s="1"/>
  <c r="H57" i="14"/>
  <c r="M57" i="14" s="1"/>
  <c r="N56" i="14"/>
  <c r="I56" i="14"/>
  <c r="L56" i="14" s="1"/>
  <c r="H56" i="14"/>
  <c r="N55" i="14"/>
  <c r="I55" i="14"/>
  <c r="L55" i="14" s="1"/>
  <c r="H55" i="14"/>
  <c r="N54" i="14"/>
  <c r="I54" i="14"/>
  <c r="J54" i="14" s="1"/>
  <c r="H54" i="14"/>
  <c r="K54" i="14" s="1"/>
  <c r="N53" i="14"/>
  <c r="I53" i="14"/>
  <c r="H53" i="14"/>
  <c r="N52" i="14"/>
  <c r="I52" i="14"/>
  <c r="L52" i="14" s="1"/>
  <c r="H52" i="14"/>
  <c r="N51" i="14"/>
  <c r="I51" i="14"/>
  <c r="L51" i="14" s="1"/>
  <c r="H51" i="14"/>
  <c r="N50" i="14"/>
  <c r="I50" i="14"/>
  <c r="J50" i="14" s="1"/>
  <c r="H50" i="14"/>
  <c r="K50" i="14" s="1"/>
  <c r="N49" i="14"/>
  <c r="I49" i="14"/>
  <c r="L49" i="14" s="1"/>
  <c r="H49" i="14"/>
  <c r="M49" i="14" s="1"/>
  <c r="N48" i="14"/>
  <c r="I48" i="14"/>
  <c r="H48" i="14"/>
  <c r="M48" i="14" s="1"/>
  <c r="N47" i="14"/>
  <c r="I47" i="14"/>
  <c r="L47" i="14" s="1"/>
  <c r="H47" i="14"/>
  <c r="K47" i="14" s="1"/>
  <c r="N46" i="14"/>
  <c r="I46" i="14"/>
  <c r="H46" i="14"/>
  <c r="K46" i="14" s="1"/>
  <c r="N45" i="14"/>
  <c r="I45" i="14"/>
  <c r="L45" i="14" s="1"/>
  <c r="H45" i="14"/>
  <c r="N44" i="14"/>
  <c r="I44" i="14"/>
  <c r="H44" i="14"/>
  <c r="N43" i="14"/>
  <c r="I43" i="14"/>
  <c r="L43" i="14" s="1"/>
  <c r="H43" i="14"/>
  <c r="N42" i="14"/>
  <c r="I42" i="14"/>
  <c r="H42" i="14"/>
  <c r="K42" i="14" s="1"/>
  <c r="N41" i="14"/>
  <c r="I41" i="14"/>
  <c r="L41" i="14" s="1"/>
  <c r="H41" i="14"/>
  <c r="M41" i="14" s="1"/>
  <c r="N40" i="14"/>
  <c r="I40" i="14"/>
  <c r="L40" i="14" s="1"/>
  <c r="H40" i="14"/>
  <c r="N39" i="14"/>
  <c r="I39" i="14"/>
  <c r="L39" i="14" s="1"/>
  <c r="H39" i="14"/>
  <c r="K39" i="14" s="1"/>
  <c r="N38" i="14"/>
  <c r="I38" i="14"/>
  <c r="J38" i="14" s="1"/>
  <c r="H38" i="14"/>
  <c r="K38" i="14" s="1"/>
  <c r="N37" i="14"/>
  <c r="I37" i="14"/>
  <c r="J37" i="14" s="1"/>
  <c r="H37" i="14"/>
  <c r="N36" i="14"/>
  <c r="I36" i="14"/>
  <c r="L36" i="14" s="1"/>
  <c r="H36" i="14"/>
  <c r="N35" i="14"/>
  <c r="I35" i="14"/>
  <c r="L35" i="14" s="1"/>
  <c r="H35" i="14"/>
  <c r="N34" i="14"/>
  <c r="I34" i="14"/>
  <c r="J34" i="14" s="1"/>
  <c r="H34" i="14"/>
  <c r="K34" i="14" s="1"/>
  <c r="N33" i="14"/>
  <c r="I33" i="14"/>
  <c r="L33" i="14" s="1"/>
  <c r="H33" i="14"/>
  <c r="N32" i="14"/>
  <c r="I32" i="14"/>
  <c r="L32" i="14" s="1"/>
  <c r="H32" i="14"/>
  <c r="N31" i="14"/>
  <c r="I31" i="14"/>
  <c r="L31" i="14" s="1"/>
  <c r="H31" i="14"/>
  <c r="N30" i="14"/>
  <c r="I30" i="14"/>
  <c r="J30" i="14" s="1"/>
  <c r="H30" i="14"/>
  <c r="K30" i="14" s="1"/>
  <c r="N29" i="14"/>
  <c r="I29" i="14"/>
  <c r="H29" i="14"/>
  <c r="N28" i="14"/>
  <c r="I28" i="14"/>
  <c r="L28" i="14" s="1"/>
  <c r="H28" i="14"/>
  <c r="N27" i="14"/>
  <c r="I27" i="14"/>
  <c r="L27" i="14" s="1"/>
  <c r="H27" i="14"/>
  <c r="N26" i="14"/>
  <c r="I26" i="14"/>
  <c r="J26" i="14" s="1"/>
  <c r="H26" i="14"/>
  <c r="K26" i="14" s="1"/>
  <c r="N25" i="14"/>
  <c r="I25" i="14"/>
  <c r="H25" i="14"/>
  <c r="K25" i="14" s="1"/>
  <c r="N24" i="14"/>
  <c r="I24" i="14"/>
  <c r="L24" i="14" s="1"/>
  <c r="H24" i="14"/>
  <c r="N23" i="14"/>
  <c r="I23" i="14"/>
  <c r="L23" i="14" s="1"/>
  <c r="H23" i="14"/>
  <c r="N22" i="14"/>
  <c r="I22" i="14"/>
  <c r="J22" i="14" s="1"/>
  <c r="H22" i="14"/>
  <c r="K22" i="14" s="1"/>
  <c r="N21" i="14"/>
  <c r="I21" i="14"/>
  <c r="H21" i="14"/>
  <c r="N20" i="14"/>
  <c r="I20" i="14"/>
  <c r="L20" i="14" s="1"/>
  <c r="H20" i="14"/>
  <c r="K20" i="14" s="1"/>
  <c r="N19" i="14"/>
  <c r="I19" i="14"/>
  <c r="L19" i="14" s="1"/>
  <c r="H19" i="14"/>
  <c r="K19" i="14" s="1"/>
  <c r="N18" i="14"/>
  <c r="I18" i="14"/>
  <c r="J18" i="14" s="1"/>
  <c r="H18" i="14"/>
  <c r="K18" i="14" s="1"/>
  <c r="N17" i="14"/>
  <c r="I17" i="14"/>
  <c r="H17" i="14"/>
  <c r="K17" i="14" s="1"/>
  <c r="N16" i="14"/>
  <c r="I16" i="14"/>
  <c r="L16" i="14" s="1"/>
  <c r="H16" i="14"/>
  <c r="N15" i="14"/>
  <c r="I15" i="14"/>
  <c r="L15" i="14" s="1"/>
  <c r="H15" i="14"/>
  <c r="N14" i="14"/>
  <c r="I14" i="14"/>
  <c r="L14" i="14" s="1"/>
  <c r="H14" i="14"/>
  <c r="K14" i="14" s="1"/>
  <c r="N13" i="14"/>
  <c r="I13" i="14"/>
  <c r="H13" i="14"/>
  <c r="M13" i="14" s="1"/>
  <c r="N12" i="14"/>
  <c r="I12" i="14"/>
  <c r="L12" i="14" s="1"/>
  <c r="H12" i="14"/>
  <c r="K12" i="14" s="1"/>
  <c r="N11" i="14"/>
  <c r="I11" i="14"/>
  <c r="L11" i="14" s="1"/>
  <c r="H11" i="14"/>
  <c r="K11" i="14" s="1"/>
  <c r="N10" i="14"/>
  <c r="I10" i="14"/>
  <c r="J10" i="14" s="1"/>
  <c r="H10" i="14"/>
  <c r="K10" i="14" s="1"/>
  <c r="N9" i="14"/>
  <c r="I9" i="14"/>
  <c r="L9" i="14" s="1"/>
  <c r="H9" i="14"/>
  <c r="N8" i="14"/>
  <c r="I8" i="14"/>
  <c r="H8" i="14"/>
  <c r="N7" i="14"/>
  <c r="I7" i="14"/>
  <c r="L7" i="14" s="1"/>
  <c r="H7" i="14"/>
  <c r="N6" i="14"/>
  <c r="I6" i="14"/>
  <c r="H6" i="14"/>
  <c r="K6" i="14" s="1"/>
  <c r="N5" i="14"/>
  <c r="I5" i="14"/>
  <c r="L5" i="14" s="1"/>
  <c r="H5" i="14"/>
  <c r="N4" i="14"/>
  <c r="I4" i="14"/>
  <c r="L4" i="14" s="1"/>
  <c r="H4" i="14"/>
  <c r="N3" i="14"/>
  <c r="I3" i="14"/>
  <c r="L3" i="14" s="1"/>
  <c r="H3" i="14"/>
  <c r="N2" i="14"/>
  <c r="I2" i="14"/>
  <c r="J2" i="14" s="1"/>
  <c r="H2" i="14"/>
  <c r="K2" i="14" s="1"/>
  <c r="N144" i="5"/>
  <c r="I144" i="5"/>
  <c r="J144" i="5" s="1"/>
  <c r="H144" i="5"/>
  <c r="N143" i="5"/>
  <c r="I143" i="5"/>
  <c r="H143" i="5"/>
  <c r="M143" i="5" s="1"/>
  <c r="N142" i="5"/>
  <c r="I142" i="5"/>
  <c r="H142" i="5"/>
  <c r="M142" i="5" s="1"/>
  <c r="N141" i="5"/>
  <c r="I141" i="5"/>
  <c r="J141" i="5" s="1"/>
  <c r="H141" i="5"/>
  <c r="N140" i="5"/>
  <c r="I140" i="5"/>
  <c r="J140" i="5" s="1"/>
  <c r="H140" i="5"/>
  <c r="N139" i="5"/>
  <c r="I139" i="5"/>
  <c r="H139" i="5"/>
  <c r="M139" i="5" s="1"/>
  <c r="N138" i="5"/>
  <c r="I138" i="5"/>
  <c r="H138" i="5"/>
  <c r="N137" i="5"/>
  <c r="I137" i="5"/>
  <c r="L137" i="5" s="1"/>
  <c r="H137" i="5"/>
  <c r="N136" i="5"/>
  <c r="I136" i="5"/>
  <c r="J136" i="5" s="1"/>
  <c r="H136" i="5"/>
  <c r="K136" i="5" s="1"/>
  <c r="N135" i="5"/>
  <c r="I135" i="5"/>
  <c r="H135" i="5"/>
  <c r="M135" i="5" s="1"/>
  <c r="N134" i="5"/>
  <c r="I134" i="5"/>
  <c r="H134" i="5"/>
  <c r="K134" i="5" s="1"/>
  <c r="N133" i="5"/>
  <c r="I133" i="5"/>
  <c r="L133" i="5" s="1"/>
  <c r="H133" i="5"/>
  <c r="N132" i="5"/>
  <c r="I132" i="5"/>
  <c r="J132" i="5" s="1"/>
  <c r="H132" i="5"/>
  <c r="K132" i="5" s="1"/>
  <c r="N131" i="5"/>
  <c r="I131" i="5"/>
  <c r="H131" i="5"/>
  <c r="M131" i="5" s="1"/>
  <c r="N130" i="5"/>
  <c r="I130" i="5"/>
  <c r="H130" i="5"/>
  <c r="K130" i="5" s="1"/>
  <c r="N129" i="5"/>
  <c r="I129" i="5"/>
  <c r="J129" i="5" s="1"/>
  <c r="H129" i="5"/>
  <c r="N128" i="5"/>
  <c r="I128" i="5"/>
  <c r="J128" i="5" s="1"/>
  <c r="H128" i="5"/>
  <c r="N127" i="5"/>
  <c r="I127" i="5"/>
  <c r="H127" i="5"/>
  <c r="M127" i="5" s="1"/>
  <c r="N126" i="5"/>
  <c r="I126" i="5"/>
  <c r="H126" i="5"/>
  <c r="K126" i="5" s="1"/>
  <c r="N125" i="5"/>
  <c r="I125" i="5"/>
  <c r="H125" i="5"/>
  <c r="N124" i="5"/>
  <c r="I124" i="5"/>
  <c r="J124" i="5" s="1"/>
  <c r="H124" i="5"/>
  <c r="N123" i="5"/>
  <c r="I123" i="5"/>
  <c r="H123" i="5"/>
  <c r="M123" i="5" s="1"/>
  <c r="N122" i="5"/>
  <c r="I122" i="5"/>
  <c r="H122" i="5"/>
  <c r="K122" i="5" s="1"/>
  <c r="N121" i="5"/>
  <c r="I121" i="5"/>
  <c r="J121" i="5" s="1"/>
  <c r="H121" i="5"/>
  <c r="N120" i="5"/>
  <c r="I120" i="5"/>
  <c r="J120" i="5" s="1"/>
  <c r="H120" i="5"/>
  <c r="M120" i="5" s="1"/>
  <c r="N119" i="5"/>
  <c r="I119" i="5"/>
  <c r="H119" i="5"/>
  <c r="M119" i="5" s="1"/>
  <c r="N118" i="5"/>
  <c r="I118" i="5"/>
  <c r="H118" i="5"/>
  <c r="M118" i="5" s="1"/>
  <c r="N117" i="5"/>
  <c r="I117" i="5"/>
  <c r="L117" i="5" s="1"/>
  <c r="H117" i="5"/>
  <c r="N116" i="5"/>
  <c r="I116" i="5"/>
  <c r="J116" i="5" s="1"/>
  <c r="H116" i="5"/>
  <c r="K116" i="5" s="1"/>
  <c r="N115" i="5"/>
  <c r="I115" i="5"/>
  <c r="H115" i="5"/>
  <c r="M115" i="5" s="1"/>
  <c r="N114" i="5"/>
  <c r="I114" i="5"/>
  <c r="H114" i="5"/>
  <c r="K114" i="5" s="1"/>
  <c r="N113" i="5"/>
  <c r="I113" i="5"/>
  <c r="J113" i="5" s="1"/>
  <c r="H113" i="5"/>
  <c r="N112" i="5"/>
  <c r="I112" i="5"/>
  <c r="J112" i="5" s="1"/>
  <c r="H112" i="5"/>
  <c r="K112" i="5" s="1"/>
  <c r="N111" i="5"/>
  <c r="I111" i="5"/>
  <c r="H111" i="5"/>
  <c r="M111" i="5" s="1"/>
  <c r="N110" i="5"/>
  <c r="I110" i="5"/>
  <c r="H110" i="5"/>
  <c r="K110" i="5" s="1"/>
  <c r="N108" i="5"/>
  <c r="I108" i="5"/>
  <c r="J108" i="5" s="1"/>
  <c r="H108" i="5"/>
  <c r="N107" i="5"/>
  <c r="I107" i="5"/>
  <c r="J107" i="5" s="1"/>
  <c r="H107" i="5"/>
  <c r="N106" i="5"/>
  <c r="I106" i="5"/>
  <c r="H106" i="5"/>
  <c r="M106" i="5" s="1"/>
  <c r="N105" i="5"/>
  <c r="I105" i="5"/>
  <c r="H105" i="5"/>
  <c r="K105" i="5" s="1"/>
  <c r="N104" i="5"/>
  <c r="I104" i="5"/>
  <c r="L104" i="5" s="1"/>
  <c r="H104" i="5"/>
  <c r="N103" i="5"/>
  <c r="I103" i="5"/>
  <c r="J103" i="5" s="1"/>
  <c r="H103" i="5"/>
  <c r="M103" i="5" s="1"/>
  <c r="N102" i="5"/>
  <c r="I102" i="5"/>
  <c r="H102" i="5"/>
  <c r="M102" i="5" s="1"/>
  <c r="N101" i="5"/>
  <c r="I101" i="5"/>
  <c r="H101" i="5"/>
  <c r="M101" i="5" s="1"/>
  <c r="N100" i="5"/>
  <c r="I100" i="5"/>
  <c r="L100" i="5" s="1"/>
  <c r="H100" i="5"/>
  <c r="N99" i="5"/>
  <c r="I99" i="5"/>
  <c r="J99" i="5" s="1"/>
  <c r="H99" i="5"/>
  <c r="K99" i="5" s="1"/>
  <c r="N98" i="5"/>
  <c r="I98" i="5"/>
  <c r="H98" i="5"/>
  <c r="M98" i="5" s="1"/>
  <c r="N97" i="5"/>
  <c r="I97" i="5"/>
  <c r="H97" i="5"/>
  <c r="K97" i="5" s="1"/>
  <c r="N96" i="5"/>
  <c r="I96" i="5"/>
  <c r="J96" i="5" s="1"/>
  <c r="H96" i="5"/>
  <c r="N95" i="5"/>
  <c r="I95" i="5"/>
  <c r="J95" i="5" s="1"/>
  <c r="H95" i="5"/>
  <c r="N94" i="5"/>
  <c r="I94" i="5"/>
  <c r="H94" i="5"/>
  <c r="M94" i="5" s="1"/>
  <c r="N93" i="5"/>
  <c r="I93" i="5"/>
  <c r="H93" i="5"/>
  <c r="M93" i="5" s="1"/>
  <c r="N92" i="5"/>
  <c r="I92" i="5"/>
  <c r="H92" i="5"/>
  <c r="N91" i="5"/>
  <c r="I91" i="5"/>
  <c r="J91" i="5" s="1"/>
  <c r="H91" i="5"/>
  <c r="N90" i="5"/>
  <c r="I90" i="5"/>
  <c r="H90" i="5"/>
  <c r="M90" i="5" s="1"/>
  <c r="N89" i="5"/>
  <c r="I89" i="5"/>
  <c r="H89" i="5"/>
  <c r="K89" i="5" s="1"/>
  <c r="N88" i="5"/>
  <c r="I88" i="5"/>
  <c r="J88" i="5" s="1"/>
  <c r="H88" i="5"/>
  <c r="N87" i="5"/>
  <c r="I87" i="5"/>
  <c r="J87" i="5" s="1"/>
  <c r="H87" i="5"/>
  <c r="M87" i="5" s="1"/>
  <c r="N86" i="5"/>
  <c r="I86" i="5"/>
  <c r="H86" i="5"/>
  <c r="M86" i="5" s="1"/>
  <c r="N85" i="5"/>
  <c r="I85" i="5"/>
  <c r="H85" i="5"/>
  <c r="M85" i="5" s="1"/>
  <c r="N84" i="5"/>
  <c r="I84" i="5"/>
  <c r="J84" i="5" s="1"/>
  <c r="H84" i="5"/>
  <c r="N83" i="5"/>
  <c r="I83" i="5"/>
  <c r="J83" i="5" s="1"/>
  <c r="H83" i="5"/>
  <c r="K83" i="5" s="1"/>
  <c r="N82" i="5"/>
  <c r="I82" i="5"/>
  <c r="H82" i="5"/>
  <c r="M82" i="5" s="1"/>
  <c r="N81" i="5"/>
  <c r="I81" i="5"/>
  <c r="H81" i="5"/>
  <c r="K81" i="5" s="1"/>
  <c r="N80" i="5"/>
  <c r="I80" i="5"/>
  <c r="J80" i="5" s="1"/>
  <c r="H80" i="5"/>
  <c r="N78" i="5"/>
  <c r="I78" i="5"/>
  <c r="H78" i="5"/>
  <c r="N77" i="5"/>
  <c r="I77" i="5"/>
  <c r="H77" i="5"/>
  <c r="N76" i="5"/>
  <c r="I76" i="5"/>
  <c r="H76" i="5"/>
  <c r="K76" i="5" s="1"/>
  <c r="N75" i="5"/>
  <c r="I75" i="5"/>
  <c r="J75" i="5" s="1"/>
  <c r="H75" i="5"/>
  <c r="N74" i="5"/>
  <c r="I74" i="5"/>
  <c r="H74" i="5"/>
  <c r="N73" i="5"/>
  <c r="I73" i="5"/>
  <c r="H73" i="5"/>
  <c r="N72" i="5"/>
  <c r="I72" i="5"/>
  <c r="H72" i="5"/>
  <c r="K72" i="5" s="1"/>
  <c r="N71" i="5"/>
  <c r="I71" i="5"/>
  <c r="H71" i="5"/>
  <c r="N70" i="5"/>
  <c r="I70" i="5"/>
  <c r="H70" i="5"/>
  <c r="K70" i="5" s="1"/>
  <c r="N69" i="5"/>
  <c r="I69" i="5"/>
  <c r="H69" i="5"/>
  <c r="N68" i="5"/>
  <c r="I68" i="5"/>
  <c r="H68" i="5"/>
  <c r="K68" i="5" s="1"/>
  <c r="N67" i="5"/>
  <c r="I67" i="5"/>
  <c r="J67" i="5" s="1"/>
  <c r="H67" i="5"/>
  <c r="N66" i="5"/>
  <c r="I66" i="5"/>
  <c r="H66" i="5"/>
  <c r="N65" i="5"/>
  <c r="I65" i="5"/>
  <c r="H65" i="5"/>
  <c r="N64" i="5"/>
  <c r="I64" i="5"/>
  <c r="H64" i="5"/>
  <c r="K64" i="5" s="1"/>
  <c r="N63" i="5"/>
  <c r="I63" i="5"/>
  <c r="J63" i="5" s="1"/>
  <c r="H63" i="5"/>
  <c r="N62" i="5"/>
  <c r="I62" i="5"/>
  <c r="H62" i="5"/>
  <c r="M62" i="5" s="1"/>
  <c r="N61" i="5"/>
  <c r="I61" i="5"/>
  <c r="H61" i="5"/>
  <c r="N60" i="5"/>
  <c r="I60" i="5"/>
  <c r="J60" i="5" s="1"/>
  <c r="H60" i="5"/>
  <c r="M60" i="5" s="1"/>
  <c r="N59" i="5"/>
  <c r="I59" i="5"/>
  <c r="L59" i="5" s="1"/>
  <c r="H59" i="5"/>
  <c r="N58" i="5"/>
  <c r="I58" i="5"/>
  <c r="L58" i="5" s="1"/>
  <c r="H58" i="5"/>
  <c r="N57" i="5"/>
  <c r="I57" i="5"/>
  <c r="L57" i="5" s="1"/>
  <c r="H57" i="5"/>
  <c r="N56" i="5"/>
  <c r="I56" i="5"/>
  <c r="J56" i="5" s="1"/>
  <c r="H56" i="5"/>
  <c r="K56" i="5" s="1"/>
  <c r="N55" i="5"/>
  <c r="I55" i="5"/>
  <c r="L55" i="5" s="1"/>
  <c r="H55" i="5"/>
  <c r="N54" i="5"/>
  <c r="I54" i="5"/>
  <c r="L54" i="5" s="1"/>
  <c r="H54" i="5"/>
  <c r="K54" i="5" s="1"/>
  <c r="N53" i="5"/>
  <c r="I53" i="5"/>
  <c r="L53" i="5" s="1"/>
  <c r="H53" i="5"/>
  <c r="K53" i="5" s="1"/>
  <c r="N52" i="5"/>
  <c r="I52" i="5"/>
  <c r="J52" i="5" s="1"/>
  <c r="H52" i="5"/>
  <c r="K52" i="5" s="1"/>
  <c r="N51" i="5"/>
  <c r="I51" i="5"/>
  <c r="L51" i="5" s="1"/>
  <c r="H51" i="5"/>
  <c r="M51" i="5" s="1"/>
  <c r="N50" i="5"/>
  <c r="I50" i="5"/>
  <c r="L50" i="5" s="1"/>
  <c r="H50" i="5"/>
  <c r="K50" i="5" s="1"/>
  <c r="N49" i="5"/>
  <c r="I49" i="5"/>
  <c r="L49" i="5" s="1"/>
  <c r="H49" i="5"/>
  <c r="K49" i="5" s="1"/>
  <c r="N48" i="5"/>
  <c r="I48" i="5"/>
  <c r="J48" i="5" s="1"/>
  <c r="H48" i="5"/>
  <c r="K48" i="5" s="1"/>
  <c r="N47" i="5"/>
  <c r="I47" i="5"/>
  <c r="L47" i="5" s="1"/>
  <c r="H47" i="5"/>
  <c r="M47" i="5" s="1"/>
  <c r="N46" i="5"/>
  <c r="I46" i="5"/>
  <c r="L46" i="5" s="1"/>
  <c r="H46" i="5"/>
  <c r="K46" i="5" s="1"/>
  <c r="N45" i="5"/>
  <c r="I45" i="5"/>
  <c r="L45" i="5" s="1"/>
  <c r="H45" i="5"/>
  <c r="K45" i="5" s="1"/>
  <c r="N44" i="5"/>
  <c r="I44" i="5"/>
  <c r="J44" i="5" s="1"/>
  <c r="H44" i="5"/>
  <c r="K44" i="5" s="1"/>
  <c r="N43" i="5"/>
  <c r="I43" i="5"/>
  <c r="L43" i="5" s="1"/>
  <c r="H43" i="5"/>
  <c r="M43" i="5" s="1"/>
  <c r="N42" i="5"/>
  <c r="I42" i="5"/>
  <c r="L42" i="5" s="1"/>
  <c r="H42" i="5"/>
  <c r="K42" i="5" s="1"/>
  <c r="N41" i="5"/>
  <c r="I41" i="5"/>
  <c r="L41" i="5" s="1"/>
  <c r="H41" i="5"/>
  <c r="K41" i="5" s="1"/>
  <c r="N40" i="5"/>
  <c r="I40" i="5"/>
  <c r="J40" i="5" s="1"/>
  <c r="H40" i="5"/>
  <c r="K40" i="5" s="1"/>
  <c r="N39" i="5"/>
  <c r="I39" i="5"/>
  <c r="L39" i="5" s="1"/>
  <c r="H39" i="5"/>
  <c r="M39" i="5" s="1"/>
  <c r="N38" i="5"/>
  <c r="I38" i="5"/>
  <c r="L38" i="5" s="1"/>
  <c r="H38" i="5"/>
  <c r="M38" i="5" s="1"/>
  <c r="N37" i="5"/>
  <c r="I37" i="5"/>
  <c r="L37" i="5" s="1"/>
  <c r="H37" i="5"/>
  <c r="K37" i="5" s="1"/>
  <c r="N36" i="5"/>
  <c r="I36" i="5"/>
  <c r="J36" i="5" s="1"/>
  <c r="H36" i="5"/>
  <c r="K36" i="5" s="1"/>
  <c r="N35" i="5"/>
  <c r="I35" i="5"/>
  <c r="L35" i="5" s="1"/>
  <c r="H35" i="5"/>
  <c r="M35" i="5" s="1"/>
  <c r="N34" i="5"/>
  <c r="I34" i="5"/>
  <c r="L34" i="5" s="1"/>
  <c r="H34" i="5"/>
  <c r="M34" i="5" s="1"/>
  <c r="N33" i="5"/>
  <c r="I33" i="5"/>
  <c r="L33" i="5" s="1"/>
  <c r="H33" i="5"/>
  <c r="K33" i="5" s="1"/>
  <c r="N32" i="5"/>
  <c r="I32" i="5"/>
  <c r="J32" i="5" s="1"/>
  <c r="H32" i="5"/>
  <c r="K32" i="5" s="1"/>
  <c r="N31" i="5"/>
  <c r="I31" i="5"/>
  <c r="L31" i="5" s="1"/>
  <c r="H31" i="5"/>
  <c r="M31" i="5" s="1"/>
  <c r="N30" i="5"/>
  <c r="I30" i="5"/>
  <c r="L30" i="5" s="1"/>
  <c r="H30" i="5"/>
  <c r="M30" i="5" s="1"/>
  <c r="N29" i="5"/>
  <c r="I29" i="5"/>
  <c r="L29" i="5" s="1"/>
  <c r="H29" i="5"/>
  <c r="K29" i="5" s="1"/>
  <c r="N28" i="5"/>
  <c r="I28" i="5"/>
  <c r="J28" i="5" s="1"/>
  <c r="H28" i="5"/>
  <c r="K28" i="5" s="1"/>
  <c r="N27" i="5"/>
  <c r="I27" i="5"/>
  <c r="L27" i="5" s="1"/>
  <c r="H27" i="5"/>
  <c r="M27" i="5" s="1"/>
  <c r="N26" i="5"/>
  <c r="I26" i="5"/>
  <c r="L26" i="5" s="1"/>
  <c r="H26" i="5"/>
  <c r="M26" i="5" s="1"/>
  <c r="N25" i="5"/>
  <c r="I25" i="5"/>
  <c r="L25" i="5" s="1"/>
  <c r="H25" i="5"/>
  <c r="K25" i="5" s="1"/>
  <c r="N24" i="5"/>
  <c r="I24" i="5"/>
  <c r="J24" i="5" s="1"/>
  <c r="H24" i="5"/>
  <c r="K24" i="5" s="1"/>
  <c r="N23" i="5"/>
  <c r="I23" i="5"/>
  <c r="L23" i="5" s="1"/>
  <c r="H23" i="5"/>
  <c r="N22" i="5"/>
  <c r="I22" i="5"/>
  <c r="L22" i="5" s="1"/>
  <c r="H22" i="5"/>
  <c r="K22" i="5" s="1"/>
  <c r="N21" i="5"/>
  <c r="I21" i="5"/>
  <c r="L21" i="5" s="1"/>
  <c r="H21" i="5"/>
  <c r="N20" i="5"/>
  <c r="I20" i="5"/>
  <c r="J20" i="5" s="1"/>
  <c r="H20" i="5"/>
  <c r="K20" i="5" s="1"/>
  <c r="N19" i="5"/>
  <c r="I19" i="5"/>
  <c r="L19" i="5" s="1"/>
  <c r="H19" i="5"/>
  <c r="M19" i="5" s="1"/>
  <c r="N18" i="5"/>
  <c r="I18" i="5"/>
  <c r="L18" i="5" s="1"/>
  <c r="H18" i="5"/>
  <c r="K18" i="5" s="1"/>
  <c r="N17" i="5"/>
  <c r="I17" i="5"/>
  <c r="L17" i="5" s="1"/>
  <c r="H17" i="5"/>
  <c r="N16" i="5"/>
  <c r="I16" i="5"/>
  <c r="J16" i="5" s="1"/>
  <c r="H16" i="5"/>
  <c r="K16" i="5" s="1"/>
  <c r="N15" i="5"/>
  <c r="I15" i="5"/>
  <c r="L15" i="5" s="1"/>
  <c r="H15" i="5"/>
  <c r="N14" i="5"/>
  <c r="I14" i="5"/>
  <c r="L14" i="5" s="1"/>
  <c r="H14" i="5"/>
  <c r="N13" i="5"/>
  <c r="I13" i="5"/>
  <c r="L13" i="5" s="1"/>
  <c r="H13" i="5"/>
  <c r="N12" i="5"/>
  <c r="I12" i="5"/>
  <c r="J12" i="5" s="1"/>
  <c r="H12" i="5"/>
  <c r="K12" i="5" s="1"/>
  <c r="N11" i="5"/>
  <c r="I11" i="5"/>
  <c r="L11" i="5" s="1"/>
  <c r="H11" i="5"/>
  <c r="M11" i="5" s="1"/>
  <c r="N10" i="5"/>
  <c r="I10" i="5"/>
  <c r="L10" i="5" s="1"/>
  <c r="H10" i="5"/>
  <c r="K10" i="5" s="1"/>
  <c r="N9" i="5"/>
  <c r="I9" i="5"/>
  <c r="L9" i="5" s="1"/>
  <c r="H9" i="5"/>
  <c r="N8" i="5"/>
  <c r="I8" i="5"/>
  <c r="J8" i="5" s="1"/>
  <c r="H8" i="5"/>
  <c r="K8" i="5" s="1"/>
  <c r="N7" i="5"/>
  <c r="I7" i="5"/>
  <c r="L7" i="5" s="1"/>
  <c r="H7" i="5"/>
  <c r="M7" i="5" s="1"/>
  <c r="N6" i="5"/>
  <c r="I6" i="5"/>
  <c r="L6" i="5" s="1"/>
  <c r="H6" i="5"/>
  <c r="M6" i="5" s="1"/>
  <c r="N5" i="5"/>
  <c r="I5" i="5"/>
  <c r="L5" i="5" s="1"/>
  <c r="H5" i="5"/>
  <c r="K5" i="5" s="1"/>
  <c r="N4" i="5"/>
  <c r="I4" i="5"/>
  <c r="J4" i="5" s="1"/>
  <c r="H4" i="5"/>
  <c r="K4" i="5" s="1"/>
  <c r="N3" i="5"/>
  <c r="I3" i="5"/>
  <c r="L3" i="5" s="1"/>
  <c r="H3" i="5"/>
  <c r="N2" i="5"/>
  <c r="I2" i="5"/>
  <c r="L2" i="5" s="1"/>
  <c r="H2" i="5"/>
  <c r="N144" i="10"/>
  <c r="I144" i="10"/>
  <c r="J144" i="10" s="1"/>
  <c r="H144" i="10"/>
  <c r="M144" i="10" s="1"/>
  <c r="N143" i="10"/>
  <c r="I143" i="10"/>
  <c r="L143" i="10" s="1"/>
  <c r="H143" i="10"/>
  <c r="M143" i="10" s="1"/>
  <c r="N142" i="10"/>
  <c r="I142" i="10"/>
  <c r="H142" i="10"/>
  <c r="M142" i="10" s="1"/>
  <c r="N141" i="10"/>
  <c r="I141" i="10"/>
  <c r="H141" i="10"/>
  <c r="N140" i="10"/>
  <c r="I140" i="10"/>
  <c r="J140" i="10" s="1"/>
  <c r="H140" i="10"/>
  <c r="M140" i="10" s="1"/>
  <c r="N139" i="10"/>
  <c r="I139" i="10"/>
  <c r="L139" i="10" s="1"/>
  <c r="H139" i="10"/>
  <c r="M139" i="10" s="1"/>
  <c r="N138" i="10"/>
  <c r="I138" i="10"/>
  <c r="H138" i="10"/>
  <c r="M138" i="10" s="1"/>
  <c r="N137" i="10"/>
  <c r="I137" i="10"/>
  <c r="J137" i="10" s="1"/>
  <c r="H137" i="10"/>
  <c r="N136" i="10"/>
  <c r="I136" i="10"/>
  <c r="J136" i="10" s="1"/>
  <c r="H136" i="10"/>
  <c r="K136" i="10" s="1"/>
  <c r="N135" i="10"/>
  <c r="I135" i="10"/>
  <c r="L135" i="10" s="1"/>
  <c r="H135" i="10"/>
  <c r="M135" i="10" s="1"/>
  <c r="N134" i="10"/>
  <c r="I134" i="10"/>
  <c r="H134" i="10"/>
  <c r="K134" i="10" s="1"/>
  <c r="N133" i="10"/>
  <c r="I133" i="10"/>
  <c r="J133" i="10" s="1"/>
  <c r="H133" i="10"/>
  <c r="N132" i="10"/>
  <c r="I132" i="10"/>
  <c r="J132" i="10" s="1"/>
  <c r="H132" i="10"/>
  <c r="M132" i="10" s="1"/>
  <c r="N131" i="10"/>
  <c r="I131" i="10"/>
  <c r="L131" i="10" s="1"/>
  <c r="H131" i="10"/>
  <c r="M131" i="10" s="1"/>
  <c r="N130" i="10"/>
  <c r="I130" i="10"/>
  <c r="H130" i="10"/>
  <c r="N129" i="10"/>
  <c r="I129" i="10"/>
  <c r="J129" i="10" s="1"/>
  <c r="H129" i="10"/>
  <c r="N128" i="10"/>
  <c r="I128" i="10"/>
  <c r="J128" i="10" s="1"/>
  <c r="H128" i="10"/>
  <c r="M128" i="10" s="1"/>
  <c r="N127" i="10"/>
  <c r="I127" i="10"/>
  <c r="L127" i="10" s="1"/>
  <c r="H127" i="10"/>
  <c r="M127" i="10" s="1"/>
  <c r="N126" i="10"/>
  <c r="I126" i="10"/>
  <c r="H126" i="10"/>
  <c r="M126" i="10" s="1"/>
  <c r="N125" i="10"/>
  <c r="I125" i="10"/>
  <c r="H125" i="10"/>
  <c r="N124" i="10"/>
  <c r="I124" i="10"/>
  <c r="J124" i="10" s="1"/>
  <c r="H124" i="10"/>
  <c r="M124" i="10" s="1"/>
  <c r="N123" i="10"/>
  <c r="I123" i="10"/>
  <c r="L123" i="10" s="1"/>
  <c r="H123" i="10"/>
  <c r="M123" i="10" s="1"/>
  <c r="N122" i="10"/>
  <c r="I122" i="10"/>
  <c r="H122" i="10"/>
  <c r="M122" i="10" s="1"/>
  <c r="N121" i="10"/>
  <c r="I121" i="10"/>
  <c r="J121" i="10" s="1"/>
  <c r="H121" i="10"/>
  <c r="N120" i="10"/>
  <c r="I120" i="10"/>
  <c r="J120" i="10" s="1"/>
  <c r="H120" i="10"/>
  <c r="K120" i="10" s="1"/>
  <c r="N119" i="10"/>
  <c r="I119" i="10"/>
  <c r="L119" i="10" s="1"/>
  <c r="H119" i="10"/>
  <c r="M119" i="10" s="1"/>
  <c r="N118" i="10"/>
  <c r="I118" i="10"/>
  <c r="H118" i="10"/>
  <c r="K118" i="10" s="1"/>
  <c r="N117" i="10"/>
  <c r="I117" i="10"/>
  <c r="J117" i="10" s="1"/>
  <c r="H117" i="10"/>
  <c r="N116" i="10"/>
  <c r="I116" i="10"/>
  <c r="J116" i="10" s="1"/>
  <c r="H116" i="10"/>
  <c r="M116" i="10" s="1"/>
  <c r="N115" i="10"/>
  <c r="I115" i="10"/>
  <c r="L115" i="10" s="1"/>
  <c r="H115" i="10"/>
  <c r="M115" i="10" s="1"/>
  <c r="N114" i="10"/>
  <c r="I114" i="10"/>
  <c r="H114" i="10"/>
  <c r="N113" i="10"/>
  <c r="I113" i="10"/>
  <c r="J113" i="10" s="1"/>
  <c r="H113" i="10"/>
  <c r="N112" i="10"/>
  <c r="I112" i="10"/>
  <c r="J112" i="10" s="1"/>
  <c r="H112" i="10"/>
  <c r="K112" i="10" s="1"/>
  <c r="N111" i="10"/>
  <c r="I111" i="10"/>
  <c r="L111" i="10" s="1"/>
  <c r="H111" i="10"/>
  <c r="M111" i="10" s="1"/>
  <c r="N110" i="10"/>
  <c r="I110" i="10"/>
  <c r="H110" i="10"/>
  <c r="K110" i="10" s="1"/>
  <c r="N108" i="10"/>
  <c r="I108" i="10"/>
  <c r="J108" i="10" s="1"/>
  <c r="H108" i="10"/>
  <c r="N107" i="10"/>
  <c r="I107" i="10"/>
  <c r="J107" i="10" s="1"/>
  <c r="H107" i="10"/>
  <c r="K107" i="10" s="1"/>
  <c r="N106" i="10"/>
  <c r="I106" i="10"/>
  <c r="L106" i="10" s="1"/>
  <c r="H106" i="10"/>
  <c r="M106" i="10" s="1"/>
  <c r="N105" i="10"/>
  <c r="I105" i="10"/>
  <c r="H105" i="10"/>
  <c r="K105" i="10" s="1"/>
  <c r="N104" i="10"/>
  <c r="I104" i="10"/>
  <c r="J104" i="10" s="1"/>
  <c r="H104" i="10"/>
  <c r="N103" i="10"/>
  <c r="I103" i="10"/>
  <c r="J103" i="10" s="1"/>
  <c r="H103" i="10"/>
  <c r="K103" i="10" s="1"/>
  <c r="N102" i="10"/>
  <c r="I102" i="10"/>
  <c r="L102" i="10" s="1"/>
  <c r="H102" i="10"/>
  <c r="M102" i="10" s="1"/>
  <c r="N101" i="10"/>
  <c r="I101" i="10"/>
  <c r="H101" i="10"/>
  <c r="K101" i="10" s="1"/>
  <c r="N100" i="10"/>
  <c r="I100" i="10"/>
  <c r="J100" i="10" s="1"/>
  <c r="H100" i="10"/>
  <c r="N99" i="10"/>
  <c r="I99" i="10"/>
  <c r="J99" i="10" s="1"/>
  <c r="H99" i="10"/>
  <c r="M99" i="10" s="1"/>
  <c r="N98" i="10"/>
  <c r="I98" i="10"/>
  <c r="L98" i="10" s="1"/>
  <c r="H98" i="10"/>
  <c r="M98" i="10" s="1"/>
  <c r="N97" i="10"/>
  <c r="I97" i="10"/>
  <c r="H97" i="10"/>
  <c r="N96" i="10"/>
  <c r="I96" i="10"/>
  <c r="J96" i="10" s="1"/>
  <c r="H96" i="10"/>
  <c r="N95" i="10"/>
  <c r="I95" i="10"/>
  <c r="J95" i="10" s="1"/>
  <c r="H95" i="10"/>
  <c r="M95" i="10" s="1"/>
  <c r="N94" i="10"/>
  <c r="I94" i="10"/>
  <c r="L94" i="10" s="1"/>
  <c r="H94" i="10"/>
  <c r="M94" i="10" s="1"/>
  <c r="N93" i="10"/>
  <c r="I93" i="10"/>
  <c r="H93" i="10"/>
  <c r="M93" i="10" s="1"/>
  <c r="N92" i="10"/>
  <c r="I92" i="10"/>
  <c r="J92" i="10" s="1"/>
  <c r="H92" i="10"/>
  <c r="N91" i="10"/>
  <c r="I91" i="10"/>
  <c r="J91" i="10" s="1"/>
  <c r="H91" i="10"/>
  <c r="M91" i="10" s="1"/>
  <c r="N90" i="10"/>
  <c r="I90" i="10"/>
  <c r="L90" i="10" s="1"/>
  <c r="H90" i="10"/>
  <c r="M90" i="10" s="1"/>
  <c r="N89" i="10"/>
  <c r="I89" i="10"/>
  <c r="H89" i="10"/>
  <c r="M89" i="10" s="1"/>
  <c r="N88" i="10"/>
  <c r="I88" i="10"/>
  <c r="J88" i="10" s="1"/>
  <c r="H88" i="10"/>
  <c r="N87" i="10"/>
  <c r="I87" i="10"/>
  <c r="J87" i="10" s="1"/>
  <c r="H87" i="10"/>
  <c r="K87" i="10" s="1"/>
  <c r="N86" i="10"/>
  <c r="I86" i="10"/>
  <c r="L86" i="10" s="1"/>
  <c r="H86" i="10"/>
  <c r="M86" i="10" s="1"/>
  <c r="N85" i="10"/>
  <c r="I85" i="10"/>
  <c r="H85" i="10"/>
  <c r="K85" i="10" s="1"/>
  <c r="N84" i="10"/>
  <c r="I84" i="10"/>
  <c r="J84" i="10" s="1"/>
  <c r="H84" i="10"/>
  <c r="N83" i="10"/>
  <c r="I83" i="10"/>
  <c r="J83" i="10" s="1"/>
  <c r="H83" i="10"/>
  <c r="M83" i="10" s="1"/>
  <c r="N82" i="10"/>
  <c r="I82" i="10"/>
  <c r="L82" i="10" s="1"/>
  <c r="H82" i="10"/>
  <c r="M82" i="10" s="1"/>
  <c r="N81" i="10"/>
  <c r="I81" i="10"/>
  <c r="H81" i="10"/>
  <c r="N80" i="10"/>
  <c r="I80" i="10"/>
  <c r="J80" i="10" s="1"/>
  <c r="H80" i="10"/>
  <c r="N78" i="10"/>
  <c r="I78" i="10"/>
  <c r="H78" i="10"/>
  <c r="K78" i="10" s="1"/>
  <c r="N77" i="10"/>
  <c r="I77" i="10"/>
  <c r="L77" i="10" s="1"/>
  <c r="H77" i="10"/>
  <c r="N76" i="10"/>
  <c r="I76" i="10"/>
  <c r="H76" i="10"/>
  <c r="K76" i="10" s="1"/>
  <c r="N75" i="10"/>
  <c r="I75" i="10"/>
  <c r="J75" i="10" s="1"/>
  <c r="H75" i="10"/>
  <c r="N74" i="10"/>
  <c r="I74" i="10"/>
  <c r="H74" i="10"/>
  <c r="K74" i="10" s="1"/>
  <c r="N73" i="10"/>
  <c r="I73" i="10"/>
  <c r="L73" i="10" s="1"/>
  <c r="H73" i="10"/>
  <c r="N72" i="10"/>
  <c r="I72" i="10"/>
  <c r="H72" i="10"/>
  <c r="K72" i="10" s="1"/>
  <c r="N71" i="10"/>
  <c r="I71" i="10"/>
  <c r="J71" i="10" s="1"/>
  <c r="H71" i="10"/>
  <c r="N70" i="10"/>
  <c r="I70" i="10"/>
  <c r="H70" i="10"/>
  <c r="K70" i="10" s="1"/>
  <c r="N69" i="10"/>
  <c r="I69" i="10"/>
  <c r="L69" i="10" s="1"/>
  <c r="H69" i="10"/>
  <c r="N68" i="10"/>
  <c r="I68" i="10"/>
  <c r="H68" i="10"/>
  <c r="K68" i="10" s="1"/>
  <c r="N67" i="10"/>
  <c r="I67" i="10"/>
  <c r="J67" i="10" s="1"/>
  <c r="H67" i="10"/>
  <c r="N66" i="10"/>
  <c r="I66" i="10"/>
  <c r="H66" i="10"/>
  <c r="M66" i="10" s="1"/>
  <c r="N65" i="10"/>
  <c r="I65" i="10"/>
  <c r="L65" i="10" s="1"/>
  <c r="H65" i="10"/>
  <c r="N64" i="10"/>
  <c r="I64" i="10"/>
  <c r="H64" i="10"/>
  <c r="N63" i="10"/>
  <c r="I63" i="10"/>
  <c r="J63" i="10" s="1"/>
  <c r="H63" i="10"/>
  <c r="N62" i="10"/>
  <c r="I62" i="10"/>
  <c r="H62" i="10"/>
  <c r="K62" i="10" s="1"/>
  <c r="N61" i="10"/>
  <c r="I61" i="10"/>
  <c r="L61" i="10" s="1"/>
  <c r="H61" i="10"/>
  <c r="N60" i="10"/>
  <c r="I60" i="10"/>
  <c r="J60" i="10" s="1"/>
  <c r="H60" i="10"/>
  <c r="M60" i="10" s="1"/>
  <c r="N59" i="10"/>
  <c r="I59" i="10"/>
  <c r="L59" i="10" s="1"/>
  <c r="H59" i="10"/>
  <c r="M59" i="10" s="1"/>
  <c r="N58" i="10"/>
  <c r="I58" i="10"/>
  <c r="H58" i="10"/>
  <c r="M58" i="10" s="1"/>
  <c r="N57" i="10"/>
  <c r="I57" i="10"/>
  <c r="L57" i="10" s="1"/>
  <c r="H57" i="10"/>
  <c r="K57" i="10" s="1"/>
  <c r="N56" i="10"/>
  <c r="I56" i="10"/>
  <c r="H56" i="10"/>
  <c r="K56" i="10" s="1"/>
  <c r="N55" i="10"/>
  <c r="I55" i="10"/>
  <c r="L55" i="10" s="1"/>
  <c r="H55" i="10"/>
  <c r="M55" i="10" s="1"/>
  <c r="N54" i="10"/>
  <c r="I54" i="10"/>
  <c r="H54" i="10"/>
  <c r="M54" i="10" s="1"/>
  <c r="N53" i="10"/>
  <c r="I53" i="10"/>
  <c r="L53" i="10" s="1"/>
  <c r="H53" i="10"/>
  <c r="K53" i="10" s="1"/>
  <c r="N52" i="10"/>
  <c r="I52" i="10"/>
  <c r="H52" i="10"/>
  <c r="K52" i="10" s="1"/>
  <c r="N51" i="10"/>
  <c r="I51" i="10"/>
  <c r="L51" i="10" s="1"/>
  <c r="H51" i="10"/>
  <c r="M51" i="10" s="1"/>
  <c r="N50" i="10"/>
  <c r="I50" i="10"/>
  <c r="H50" i="10"/>
  <c r="M50" i="10" s="1"/>
  <c r="N49" i="10"/>
  <c r="I49" i="10"/>
  <c r="L49" i="10" s="1"/>
  <c r="H49" i="10"/>
  <c r="K49" i="10" s="1"/>
  <c r="N48" i="10"/>
  <c r="I48" i="10"/>
  <c r="H48" i="10"/>
  <c r="K48" i="10" s="1"/>
  <c r="N47" i="10"/>
  <c r="I47" i="10"/>
  <c r="L47" i="10" s="1"/>
  <c r="H47" i="10"/>
  <c r="M47" i="10" s="1"/>
  <c r="N46" i="10"/>
  <c r="I46" i="10"/>
  <c r="H46" i="10"/>
  <c r="M46" i="10" s="1"/>
  <c r="N45" i="10"/>
  <c r="I45" i="10"/>
  <c r="L45" i="10" s="1"/>
  <c r="H45" i="10"/>
  <c r="K45" i="10" s="1"/>
  <c r="N44" i="10"/>
  <c r="I44" i="10"/>
  <c r="H44" i="10"/>
  <c r="K44" i="10" s="1"/>
  <c r="N43" i="10"/>
  <c r="I43" i="10"/>
  <c r="H43" i="10"/>
  <c r="M43" i="10" s="1"/>
  <c r="N42" i="10"/>
  <c r="I42" i="10"/>
  <c r="H42" i="10"/>
  <c r="K42" i="10" s="1"/>
  <c r="N41" i="10"/>
  <c r="I41" i="10"/>
  <c r="L41" i="10" s="1"/>
  <c r="H41" i="10"/>
  <c r="N40" i="10"/>
  <c r="I40" i="10"/>
  <c r="H40" i="10"/>
  <c r="K40" i="10" s="1"/>
  <c r="N39" i="10"/>
  <c r="I39" i="10"/>
  <c r="J39" i="10" s="1"/>
  <c r="H39" i="10"/>
  <c r="N38" i="10"/>
  <c r="I38" i="10"/>
  <c r="H38" i="10"/>
  <c r="M38" i="10" s="1"/>
  <c r="N37" i="10"/>
  <c r="I37" i="10"/>
  <c r="L37" i="10" s="1"/>
  <c r="H37" i="10"/>
  <c r="K37" i="10" s="1"/>
  <c r="N36" i="10"/>
  <c r="I36" i="10"/>
  <c r="H36" i="10"/>
  <c r="K36" i="10" s="1"/>
  <c r="N35" i="10"/>
  <c r="I35" i="10"/>
  <c r="J35" i="10" s="1"/>
  <c r="H35" i="10"/>
  <c r="M35" i="10" s="1"/>
  <c r="N34" i="10"/>
  <c r="I34" i="10"/>
  <c r="H34" i="10"/>
  <c r="K34" i="10" s="1"/>
  <c r="N33" i="10"/>
  <c r="I33" i="10"/>
  <c r="L33" i="10" s="1"/>
  <c r="H33" i="10"/>
  <c r="K33" i="10" s="1"/>
  <c r="N32" i="10"/>
  <c r="I32" i="10"/>
  <c r="H32" i="10"/>
  <c r="K32" i="10" s="1"/>
  <c r="N31" i="10"/>
  <c r="I31" i="10"/>
  <c r="J31" i="10" s="1"/>
  <c r="H31" i="10"/>
  <c r="N30" i="10"/>
  <c r="I30" i="10"/>
  <c r="H30" i="10"/>
  <c r="N29" i="10"/>
  <c r="I29" i="10"/>
  <c r="L29" i="10" s="1"/>
  <c r="H29" i="10"/>
  <c r="N28" i="10"/>
  <c r="I28" i="10"/>
  <c r="J28" i="10" s="1"/>
  <c r="H28" i="10"/>
  <c r="K28" i="10" s="1"/>
  <c r="N27" i="10"/>
  <c r="I27" i="10"/>
  <c r="H27" i="10"/>
  <c r="M27" i="10" s="1"/>
  <c r="N26" i="10"/>
  <c r="I26" i="10"/>
  <c r="L26" i="10" s="1"/>
  <c r="H26" i="10"/>
  <c r="K26" i="10" s="1"/>
  <c r="N25" i="10"/>
  <c r="I25" i="10"/>
  <c r="L25" i="10" s="1"/>
  <c r="H25" i="10"/>
  <c r="K25" i="10" s="1"/>
  <c r="N24" i="10"/>
  <c r="I24" i="10"/>
  <c r="J24" i="10" s="1"/>
  <c r="H24" i="10"/>
  <c r="K24" i="10" s="1"/>
  <c r="N23" i="10"/>
  <c r="I23" i="10"/>
  <c r="L23" i="10" s="1"/>
  <c r="H23" i="10"/>
  <c r="M23" i="10" s="1"/>
  <c r="N22" i="10"/>
  <c r="I22" i="10"/>
  <c r="L22" i="10" s="1"/>
  <c r="H22" i="10"/>
  <c r="M22" i="10" s="1"/>
  <c r="N21" i="10"/>
  <c r="I21" i="10"/>
  <c r="L21" i="10" s="1"/>
  <c r="H21" i="10"/>
  <c r="K21" i="10" s="1"/>
  <c r="N20" i="10"/>
  <c r="I20" i="10"/>
  <c r="J20" i="10" s="1"/>
  <c r="H20" i="10"/>
  <c r="K20" i="10" s="1"/>
  <c r="N19" i="10"/>
  <c r="I19" i="10"/>
  <c r="L19" i="10" s="1"/>
  <c r="H19" i="10"/>
  <c r="M19" i="10" s="1"/>
  <c r="N18" i="10"/>
  <c r="I18" i="10"/>
  <c r="L18" i="10" s="1"/>
  <c r="H18" i="10"/>
  <c r="M18" i="10" s="1"/>
  <c r="N17" i="10"/>
  <c r="I17" i="10"/>
  <c r="L17" i="10" s="1"/>
  <c r="H17" i="10"/>
  <c r="K17" i="10" s="1"/>
  <c r="N16" i="10"/>
  <c r="I16" i="10"/>
  <c r="J16" i="10" s="1"/>
  <c r="H16" i="10"/>
  <c r="K16" i="10" s="1"/>
  <c r="N15" i="10"/>
  <c r="I15" i="10"/>
  <c r="H15" i="10"/>
  <c r="M15" i="10" s="1"/>
  <c r="N14" i="10"/>
  <c r="I14" i="10"/>
  <c r="L14" i="10" s="1"/>
  <c r="H14" i="10"/>
  <c r="M14" i="10" s="1"/>
  <c r="N13" i="10"/>
  <c r="I13" i="10"/>
  <c r="L13" i="10" s="1"/>
  <c r="H13" i="10"/>
  <c r="K13" i="10" s="1"/>
  <c r="N12" i="10"/>
  <c r="I12" i="10"/>
  <c r="J12" i="10" s="1"/>
  <c r="H12" i="10"/>
  <c r="K12" i="10" s="1"/>
  <c r="N11" i="10"/>
  <c r="I11" i="10"/>
  <c r="L11" i="10" s="1"/>
  <c r="H11" i="10"/>
  <c r="M11" i="10" s="1"/>
  <c r="N10" i="10"/>
  <c r="I10" i="10"/>
  <c r="L10" i="10" s="1"/>
  <c r="H10" i="10"/>
  <c r="K10" i="10" s="1"/>
  <c r="N9" i="10"/>
  <c r="I9" i="10"/>
  <c r="L9" i="10" s="1"/>
  <c r="H9" i="10"/>
  <c r="N8" i="10"/>
  <c r="I8" i="10"/>
  <c r="J8" i="10" s="1"/>
  <c r="H8" i="10"/>
  <c r="K8" i="10" s="1"/>
  <c r="N7" i="10"/>
  <c r="I7" i="10"/>
  <c r="L7" i="10" s="1"/>
  <c r="H7" i="10"/>
  <c r="N6" i="10"/>
  <c r="I6" i="10"/>
  <c r="L6" i="10" s="1"/>
  <c r="H6" i="10"/>
  <c r="M6" i="10" s="1"/>
  <c r="N5" i="10"/>
  <c r="I5" i="10"/>
  <c r="L5" i="10" s="1"/>
  <c r="H5" i="10"/>
  <c r="K5" i="10" s="1"/>
  <c r="N4" i="10"/>
  <c r="I4" i="10"/>
  <c r="J4" i="10" s="1"/>
  <c r="H4" i="10"/>
  <c r="K4" i="10" s="1"/>
  <c r="N3" i="10"/>
  <c r="I3" i="10"/>
  <c r="L3" i="10" s="1"/>
  <c r="H3" i="10"/>
  <c r="M3" i="10" s="1"/>
  <c r="N2" i="10"/>
  <c r="I2" i="10"/>
  <c r="L2" i="10" s="1"/>
  <c r="H2" i="10"/>
  <c r="K2" i="10" s="1"/>
  <c r="N144" i="12"/>
  <c r="I144" i="12"/>
  <c r="J144" i="12" s="1"/>
  <c r="H144" i="12"/>
  <c r="M144" i="12" s="1"/>
  <c r="N143" i="12"/>
  <c r="I143" i="12"/>
  <c r="L143" i="12" s="1"/>
  <c r="H143" i="12"/>
  <c r="M143" i="12" s="1"/>
  <c r="N142" i="12"/>
  <c r="I142" i="12"/>
  <c r="J142" i="12" s="1"/>
  <c r="H142" i="12"/>
  <c r="K142" i="12" s="1"/>
  <c r="N141" i="12"/>
  <c r="I141" i="12"/>
  <c r="H141" i="12"/>
  <c r="M141" i="12" s="1"/>
  <c r="N140" i="12"/>
  <c r="I140" i="12"/>
  <c r="J140" i="12" s="1"/>
  <c r="H140" i="12"/>
  <c r="K140" i="12" s="1"/>
  <c r="N139" i="12"/>
  <c r="I139" i="12"/>
  <c r="L139" i="12" s="1"/>
  <c r="H139" i="12"/>
  <c r="M139" i="12" s="1"/>
  <c r="N138" i="12"/>
  <c r="I138" i="12"/>
  <c r="H138" i="12"/>
  <c r="K138" i="12" s="1"/>
  <c r="N137" i="12"/>
  <c r="I137" i="12"/>
  <c r="H137" i="12"/>
  <c r="N136" i="12"/>
  <c r="I136" i="12"/>
  <c r="J136" i="12" s="1"/>
  <c r="H136" i="12"/>
  <c r="M136" i="12" s="1"/>
  <c r="N135" i="12"/>
  <c r="I135" i="12"/>
  <c r="J135" i="12" s="1"/>
  <c r="H135" i="12"/>
  <c r="M135" i="12" s="1"/>
  <c r="N134" i="12"/>
  <c r="I134" i="12"/>
  <c r="J134" i="12" s="1"/>
  <c r="H134" i="12"/>
  <c r="N133" i="12"/>
  <c r="I133" i="12"/>
  <c r="J133" i="12" s="1"/>
  <c r="H133" i="12"/>
  <c r="N132" i="12"/>
  <c r="I132" i="12"/>
  <c r="J132" i="12" s="1"/>
  <c r="H132" i="12"/>
  <c r="M132" i="12" s="1"/>
  <c r="N131" i="12"/>
  <c r="I131" i="12"/>
  <c r="H131" i="12"/>
  <c r="M131" i="12" s="1"/>
  <c r="N130" i="12"/>
  <c r="I130" i="12"/>
  <c r="L130" i="12" s="1"/>
  <c r="H130" i="12"/>
  <c r="N129" i="12"/>
  <c r="I129" i="12"/>
  <c r="J129" i="12" s="1"/>
  <c r="H129" i="12"/>
  <c r="N128" i="12"/>
  <c r="I128" i="12"/>
  <c r="J128" i="12" s="1"/>
  <c r="H128" i="12"/>
  <c r="M128" i="12" s="1"/>
  <c r="N127" i="12"/>
  <c r="I127" i="12"/>
  <c r="L127" i="12" s="1"/>
  <c r="H127" i="12"/>
  <c r="M127" i="12" s="1"/>
  <c r="N126" i="12"/>
  <c r="I126" i="12"/>
  <c r="J126" i="12" s="1"/>
  <c r="H126" i="12"/>
  <c r="M126" i="12" s="1"/>
  <c r="N125" i="12"/>
  <c r="I125" i="12"/>
  <c r="L125" i="12" s="1"/>
  <c r="H125" i="12"/>
  <c r="N124" i="12"/>
  <c r="I124" i="12"/>
  <c r="J124" i="12" s="1"/>
  <c r="H124" i="12"/>
  <c r="K124" i="12" s="1"/>
  <c r="N123" i="12"/>
  <c r="I123" i="12"/>
  <c r="H123" i="12"/>
  <c r="M123" i="12" s="1"/>
  <c r="N122" i="12"/>
  <c r="I122" i="12"/>
  <c r="L122" i="12" s="1"/>
  <c r="H122" i="12"/>
  <c r="M122" i="12" s="1"/>
  <c r="N121" i="12"/>
  <c r="I121" i="12"/>
  <c r="L121" i="12" s="1"/>
  <c r="H121" i="12"/>
  <c r="N120" i="12"/>
  <c r="I120" i="12"/>
  <c r="J120" i="12" s="1"/>
  <c r="H120" i="12"/>
  <c r="M120" i="12" s="1"/>
  <c r="N119" i="12"/>
  <c r="I119" i="12"/>
  <c r="J119" i="12" s="1"/>
  <c r="H119" i="12"/>
  <c r="M119" i="12" s="1"/>
  <c r="N118" i="12"/>
  <c r="I118" i="12"/>
  <c r="J118" i="12" s="1"/>
  <c r="H118" i="12"/>
  <c r="M118" i="12" s="1"/>
  <c r="N117" i="12"/>
  <c r="I117" i="12"/>
  <c r="L117" i="12" s="1"/>
  <c r="H117" i="12"/>
  <c r="K117" i="12" s="1"/>
  <c r="N116" i="12"/>
  <c r="I116" i="12"/>
  <c r="J116" i="12" s="1"/>
  <c r="H116" i="12"/>
  <c r="M116" i="12" s="1"/>
  <c r="N115" i="12"/>
  <c r="I115" i="12"/>
  <c r="J115" i="12" s="1"/>
  <c r="H115" i="12"/>
  <c r="M115" i="12" s="1"/>
  <c r="N114" i="12"/>
  <c r="I114" i="12"/>
  <c r="L114" i="12" s="1"/>
  <c r="H114" i="12"/>
  <c r="N113" i="12"/>
  <c r="I113" i="12"/>
  <c r="L113" i="12" s="1"/>
  <c r="H113" i="12"/>
  <c r="M113" i="12" s="1"/>
  <c r="N112" i="12"/>
  <c r="I112" i="12"/>
  <c r="J112" i="12" s="1"/>
  <c r="H112" i="12"/>
  <c r="M112" i="12" s="1"/>
  <c r="N111" i="12"/>
  <c r="I111" i="12"/>
  <c r="H111" i="12"/>
  <c r="M111" i="12" s="1"/>
  <c r="N110" i="12"/>
  <c r="I110" i="12"/>
  <c r="L110" i="12" s="1"/>
  <c r="H110" i="12"/>
  <c r="N108" i="12"/>
  <c r="I108" i="12"/>
  <c r="H108" i="12"/>
  <c r="N107" i="12"/>
  <c r="I107" i="12"/>
  <c r="J107" i="12" s="1"/>
  <c r="H107" i="12"/>
  <c r="N106" i="12"/>
  <c r="I106" i="12"/>
  <c r="H106" i="12"/>
  <c r="M106" i="12" s="1"/>
  <c r="N105" i="12"/>
  <c r="I105" i="12"/>
  <c r="L105" i="12" s="1"/>
  <c r="H105" i="12"/>
  <c r="N104" i="12"/>
  <c r="I104" i="12"/>
  <c r="H104" i="12"/>
  <c r="M104" i="12" s="1"/>
  <c r="N103" i="12"/>
  <c r="I103" i="12"/>
  <c r="J103" i="12" s="1"/>
  <c r="H103" i="12"/>
  <c r="K103" i="12" s="1"/>
  <c r="N102" i="12"/>
  <c r="I102" i="12"/>
  <c r="H102" i="12"/>
  <c r="M102" i="12" s="1"/>
  <c r="N101" i="12"/>
  <c r="I101" i="12"/>
  <c r="L101" i="12" s="1"/>
  <c r="H101" i="12"/>
  <c r="N100" i="12"/>
  <c r="I100" i="12"/>
  <c r="H100" i="12"/>
  <c r="M100" i="12" s="1"/>
  <c r="N99" i="12"/>
  <c r="I99" i="12"/>
  <c r="J99" i="12" s="1"/>
  <c r="H99" i="12"/>
  <c r="K99" i="12" s="1"/>
  <c r="N98" i="12"/>
  <c r="I98" i="12"/>
  <c r="H98" i="12"/>
  <c r="M98" i="12" s="1"/>
  <c r="N97" i="12"/>
  <c r="I97" i="12"/>
  <c r="L97" i="12" s="1"/>
  <c r="H97" i="12"/>
  <c r="M97" i="12" s="1"/>
  <c r="N96" i="12"/>
  <c r="I96" i="12"/>
  <c r="H96" i="12"/>
  <c r="M96" i="12" s="1"/>
  <c r="N95" i="12"/>
  <c r="I95" i="12"/>
  <c r="J95" i="12" s="1"/>
  <c r="H95" i="12"/>
  <c r="K95" i="12" s="1"/>
  <c r="N94" i="12"/>
  <c r="I94" i="12"/>
  <c r="H94" i="12"/>
  <c r="M94" i="12" s="1"/>
  <c r="N93" i="12"/>
  <c r="I93" i="12"/>
  <c r="L93" i="12" s="1"/>
  <c r="H93" i="12"/>
  <c r="M93" i="12" s="1"/>
  <c r="N92" i="12"/>
  <c r="I92" i="12"/>
  <c r="H92" i="12"/>
  <c r="M92" i="12" s="1"/>
  <c r="N91" i="12"/>
  <c r="I91" i="12"/>
  <c r="J91" i="12" s="1"/>
  <c r="H91" i="12"/>
  <c r="K91" i="12" s="1"/>
  <c r="N90" i="12"/>
  <c r="I90" i="12"/>
  <c r="H90" i="12"/>
  <c r="M90" i="12" s="1"/>
  <c r="N89" i="12"/>
  <c r="I89" i="12"/>
  <c r="L89" i="12" s="1"/>
  <c r="H89" i="12"/>
  <c r="M89" i="12" s="1"/>
  <c r="N88" i="12"/>
  <c r="I88" i="12"/>
  <c r="H88" i="12"/>
  <c r="M88" i="12" s="1"/>
  <c r="N87" i="12"/>
  <c r="I87" i="12"/>
  <c r="J87" i="12" s="1"/>
  <c r="H87" i="12"/>
  <c r="K87" i="12" s="1"/>
  <c r="N86" i="12"/>
  <c r="I86" i="12"/>
  <c r="H86" i="12"/>
  <c r="M86" i="12" s="1"/>
  <c r="N85" i="12"/>
  <c r="I85" i="12"/>
  <c r="L85" i="12" s="1"/>
  <c r="H85" i="12"/>
  <c r="M85" i="12" s="1"/>
  <c r="N84" i="12"/>
  <c r="I84" i="12"/>
  <c r="H84" i="12"/>
  <c r="K84" i="12" s="1"/>
  <c r="N83" i="12"/>
  <c r="I83" i="12"/>
  <c r="J83" i="12" s="1"/>
  <c r="H83" i="12"/>
  <c r="K83" i="12" s="1"/>
  <c r="N82" i="12"/>
  <c r="I82" i="12"/>
  <c r="H82" i="12"/>
  <c r="M82" i="12" s="1"/>
  <c r="N81" i="12"/>
  <c r="I81" i="12"/>
  <c r="L81" i="12" s="1"/>
  <c r="H81" i="12"/>
  <c r="M81" i="12" s="1"/>
  <c r="N80" i="12"/>
  <c r="I80" i="12"/>
  <c r="H80" i="12"/>
  <c r="K80" i="12" s="1"/>
  <c r="N78" i="12"/>
  <c r="I78" i="12"/>
  <c r="J78" i="12" s="1"/>
  <c r="H78" i="12"/>
  <c r="K78" i="12" s="1"/>
  <c r="N77" i="12"/>
  <c r="I77" i="12"/>
  <c r="H77" i="12"/>
  <c r="M77" i="12" s="1"/>
  <c r="N76" i="12"/>
  <c r="I76" i="12"/>
  <c r="L76" i="12" s="1"/>
  <c r="H76" i="12"/>
  <c r="M76" i="12" s="1"/>
  <c r="N75" i="12"/>
  <c r="I75" i="12"/>
  <c r="H75" i="12"/>
  <c r="K75" i="12" s="1"/>
  <c r="N74" i="12"/>
  <c r="I74" i="12"/>
  <c r="J74" i="12" s="1"/>
  <c r="H74" i="12"/>
  <c r="K74" i="12" s="1"/>
  <c r="N73" i="12"/>
  <c r="I73" i="12"/>
  <c r="H73" i="12"/>
  <c r="N72" i="12"/>
  <c r="I72" i="12"/>
  <c r="L72" i="12" s="1"/>
  <c r="H72" i="12"/>
  <c r="M72" i="12" s="1"/>
  <c r="N71" i="12"/>
  <c r="I71" i="12"/>
  <c r="H71" i="12"/>
  <c r="K71" i="12" s="1"/>
  <c r="N70" i="12"/>
  <c r="I70" i="12"/>
  <c r="H70" i="12"/>
  <c r="K70" i="12" s="1"/>
  <c r="N69" i="12"/>
  <c r="I69" i="12"/>
  <c r="H69" i="12"/>
  <c r="M69" i="12" s="1"/>
  <c r="N68" i="12"/>
  <c r="I68" i="12"/>
  <c r="L68" i="12" s="1"/>
  <c r="H68" i="12"/>
  <c r="N67" i="12"/>
  <c r="I67" i="12"/>
  <c r="L67" i="12" s="1"/>
  <c r="H67" i="12"/>
  <c r="K67" i="12" s="1"/>
  <c r="N66" i="12"/>
  <c r="I66" i="12"/>
  <c r="J66" i="12" s="1"/>
  <c r="H66" i="12"/>
  <c r="K66" i="12" s="1"/>
  <c r="N65" i="12"/>
  <c r="I65" i="12"/>
  <c r="J65" i="12" s="1"/>
  <c r="H65" i="12"/>
  <c r="M65" i="12" s="1"/>
  <c r="N64" i="12"/>
  <c r="I64" i="12"/>
  <c r="J64" i="12" s="1"/>
  <c r="H64" i="12"/>
  <c r="M64" i="12" s="1"/>
  <c r="N63" i="12"/>
  <c r="I63" i="12"/>
  <c r="L63" i="12" s="1"/>
  <c r="H63" i="12"/>
  <c r="K63" i="12" s="1"/>
  <c r="N62" i="12"/>
  <c r="I62" i="12"/>
  <c r="L62" i="12" s="1"/>
  <c r="H62" i="12"/>
  <c r="K62" i="12" s="1"/>
  <c r="N61" i="12"/>
  <c r="I61" i="12"/>
  <c r="J61" i="12" s="1"/>
  <c r="H61" i="12"/>
  <c r="M61" i="12" s="1"/>
  <c r="N60" i="12"/>
  <c r="I60" i="12"/>
  <c r="J60" i="12" s="1"/>
  <c r="H60" i="12"/>
  <c r="M60" i="12" s="1"/>
  <c r="N59" i="12"/>
  <c r="I59" i="12"/>
  <c r="L59" i="12" s="1"/>
  <c r="H59" i="12"/>
  <c r="M59" i="12" s="1"/>
  <c r="N58" i="12"/>
  <c r="I58" i="12"/>
  <c r="H58" i="12"/>
  <c r="M58" i="12" s="1"/>
  <c r="N57" i="12"/>
  <c r="I57" i="12"/>
  <c r="L57" i="12" s="1"/>
  <c r="H57" i="12"/>
  <c r="K57" i="12" s="1"/>
  <c r="N56" i="12"/>
  <c r="I56" i="12"/>
  <c r="J56" i="12" s="1"/>
  <c r="H56" i="12"/>
  <c r="K56" i="12" s="1"/>
  <c r="N55" i="12"/>
  <c r="I55" i="12"/>
  <c r="J55" i="12" s="1"/>
  <c r="H55" i="12"/>
  <c r="M55" i="12" s="1"/>
  <c r="N54" i="12"/>
  <c r="I54" i="12"/>
  <c r="J54" i="12" s="1"/>
  <c r="H54" i="12"/>
  <c r="M54" i="12" s="1"/>
  <c r="N53" i="12"/>
  <c r="I53" i="12"/>
  <c r="J53" i="12" s="1"/>
  <c r="H53" i="12"/>
  <c r="M53" i="12" s="1"/>
  <c r="N52" i="12"/>
  <c r="I52" i="12"/>
  <c r="J52" i="12" s="1"/>
  <c r="H52" i="12"/>
  <c r="M52" i="12" s="1"/>
  <c r="N51" i="12"/>
  <c r="I51" i="12"/>
  <c r="H51" i="12"/>
  <c r="M51" i="12" s="1"/>
  <c r="N50" i="12"/>
  <c r="I50" i="12"/>
  <c r="L50" i="12" s="1"/>
  <c r="H50" i="12"/>
  <c r="M50" i="12" s="1"/>
  <c r="N49" i="12"/>
  <c r="I49" i="12"/>
  <c r="J49" i="12" s="1"/>
  <c r="H49" i="12"/>
  <c r="K49" i="12" s="1"/>
  <c r="N48" i="12"/>
  <c r="I48" i="12"/>
  <c r="J48" i="12" s="1"/>
  <c r="H48" i="12"/>
  <c r="M48" i="12" s="1"/>
  <c r="N47" i="12"/>
  <c r="I47" i="12"/>
  <c r="J47" i="12" s="1"/>
  <c r="H47" i="12"/>
  <c r="M47" i="12" s="1"/>
  <c r="N46" i="12"/>
  <c r="I46" i="12"/>
  <c r="L46" i="12" s="1"/>
  <c r="H46" i="12"/>
  <c r="M46" i="12" s="1"/>
  <c r="N45" i="12"/>
  <c r="I45" i="12"/>
  <c r="J45" i="12" s="1"/>
  <c r="H45" i="12"/>
  <c r="K45" i="12" s="1"/>
  <c r="N44" i="12"/>
  <c r="I44" i="12"/>
  <c r="J44" i="12" s="1"/>
  <c r="H44" i="12"/>
  <c r="M44" i="12" s="1"/>
  <c r="N43" i="12"/>
  <c r="I43" i="12"/>
  <c r="J43" i="12" s="1"/>
  <c r="H43" i="12"/>
  <c r="M43" i="12" s="1"/>
  <c r="N42" i="12"/>
  <c r="I42" i="12"/>
  <c r="L42" i="12" s="1"/>
  <c r="H42" i="12"/>
  <c r="M42" i="12" s="1"/>
  <c r="N41" i="12"/>
  <c r="I41" i="12"/>
  <c r="J41" i="12" s="1"/>
  <c r="H41" i="12"/>
  <c r="K41" i="12" s="1"/>
  <c r="N40" i="12"/>
  <c r="I40" i="12"/>
  <c r="J40" i="12" s="1"/>
  <c r="H40" i="12"/>
  <c r="M40" i="12" s="1"/>
  <c r="N39" i="12"/>
  <c r="I39" i="12"/>
  <c r="J39" i="12" s="1"/>
  <c r="H39" i="12"/>
  <c r="M39" i="12" s="1"/>
  <c r="N38" i="12"/>
  <c r="I38" i="12"/>
  <c r="L38" i="12" s="1"/>
  <c r="H38" i="12"/>
  <c r="K38" i="12" s="1"/>
  <c r="N37" i="12"/>
  <c r="I37" i="12"/>
  <c r="J37" i="12" s="1"/>
  <c r="H37" i="12"/>
  <c r="N36" i="12"/>
  <c r="I36" i="12"/>
  <c r="J36" i="12" s="1"/>
  <c r="H36" i="12"/>
  <c r="M36" i="12" s="1"/>
  <c r="N35" i="12"/>
  <c r="I35" i="12"/>
  <c r="J35" i="12" s="1"/>
  <c r="H35" i="12"/>
  <c r="N34" i="12"/>
  <c r="I34" i="12"/>
  <c r="L34" i="12" s="1"/>
  <c r="H34" i="12"/>
  <c r="M34" i="12" s="1"/>
  <c r="N33" i="12"/>
  <c r="I33" i="12"/>
  <c r="J33" i="12" s="1"/>
  <c r="H33" i="12"/>
  <c r="K33" i="12" s="1"/>
  <c r="N32" i="12"/>
  <c r="I32" i="12"/>
  <c r="J32" i="12" s="1"/>
  <c r="H32" i="12"/>
  <c r="M32" i="12" s="1"/>
  <c r="N31" i="12"/>
  <c r="I31" i="12"/>
  <c r="J31" i="12" s="1"/>
  <c r="H31" i="12"/>
  <c r="M31" i="12" s="1"/>
  <c r="N30" i="12"/>
  <c r="I30" i="12"/>
  <c r="L30" i="12" s="1"/>
  <c r="H30" i="12"/>
  <c r="M30" i="12" s="1"/>
  <c r="N29" i="12"/>
  <c r="I29" i="12"/>
  <c r="J29" i="12" s="1"/>
  <c r="H29" i="12"/>
  <c r="K29" i="12" s="1"/>
  <c r="N28" i="12"/>
  <c r="I28" i="12"/>
  <c r="J28" i="12" s="1"/>
  <c r="H28" i="12"/>
  <c r="M28" i="12" s="1"/>
  <c r="N27" i="12"/>
  <c r="I27" i="12"/>
  <c r="J27" i="12" s="1"/>
  <c r="H27" i="12"/>
  <c r="M27" i="12" s="1"/>
  <c r="N26" i="12"/>
  <c r="I26" i="12"/>
  <c r="L26" i="12" s="1"/>
  <c r="H26" i="12"/>
  <c r="N25" i="12"/>
  <c r="I25" i="12"/>
  <c r="J25" i="12" s="1"/>
  <c r="H25" i="12"/>
  <c r="N24" i="12"/>
  <c r="I24" i="12"/>
  <c r="J24" i="12" s="1"/>
  <c r="H24" i="12"/>
  <c r="M24" i="12" s="1"/>
  <c r="N23" i="12"/>
  <c r="I23" i="12"/>
  <c r="L23" i="12" s="1"/>
  <c r="H23" i="12"/>
  <c r="M23" i="12" s="1"/>
  <c r="N22" i="12"/>
  <c r="I22" i="12"/>
  <c r="L22" i="12" s="1"/>
  <c r="H22" i="12"/>
  <c r="M22" i="12" s="1"/>
  <c r="N21" i="12"/>
  <c r="I21" i="12"/>
  <c r="J21" i="12" s="1"/>
  <c r="H21" i="12"/>
  <c r="K21" i="12" s="1"/>
  <c r="N20" i="12"/>
  <c r="I20" i="12"/>
  <c r="J20" i="12" s="1"/>
  <c r="H20" i="12"/>
  <c r="M20" i="12" s="1"/>
  <c r="N19" i="12"/>
  <c r="I19" i="12"/>
  <c r="J19" i="12" s="1"/>
  <c r="H19" i="12"/>
  <c r="N18" i="12"/>
  <c r="I18" i="12"/>
  <c r="L18" i="12" s="1"/>
  <c r="H18" i="12"/>
  <c r="M18" i="12" s="1"/>
  <c r="N17" i="12"/>
  <c r="I17" i="12"/>
  <c r="J17" i="12" s="1"/>
  <c r="H17" i="12"/>
  <c r="K17" i="12" s="1"/>
  <c r="N16" i="12"/>
  <c r="I16" i="12"/>
  <c r="J16" i="12" s="1"/>
  <c r="H16" i="12"/>
  <c r="M16" i="12" s="1"/>
  <c r="N15" i="12"/>
  <c r="I15" i="12"/>
  <c r="J15" i="12" s="1"/>
  <c r="H15" i="12"/>
  <c r="M15" i="12" s="1"/>
  <c r="N14" i="12"/>
  <c r="I14" i="12"/>
  <c r="L14" i="12" s="1"/>
  <c r="H14" i="12"/>
  <c r="K14" i="12" s="1"/>
  <c r="N13" i="12"/>
  <c r="I13" i="12"/>
  <c r="J13" i="12" s="1"/>
  <c r="H13" i="12"/>
  <c r="K13" i="12" s="1"/>
  <c r="N12" i="12"/>
  <c r="I12" i="12"/>
  <c r="J12" i="12" s="1"/>
  <c r="H12" i="12"/>
  <c r="M12" i="12" s="1"/>
  <c r="N11" i="12"/>
  <c r="I11" i="12"/>
  <c r="J11" i="12" s="1"/>
  <c r="H11" i="12"/>
  <c r="M11" i="12" s="1"/>
  <c r="N10" i="12"/>
  <c r="I10" i="12"/>
  <c r="L10" i="12" s="1"/>
  <c r="H10" i="12"/>
  <c r="M10" i="12" s="1"/>
  <c r="N9" i="12"/>
  <c r="I9" i="12"/>
  <c r="J9" i="12" s="1"/>
  <c r="H9" i="12"/>
  <c r="K9" i="12" s="1"/>
  <c r="N8" i="12"/>
  <c r="I8" i="12"/>
  <c r="J8" i="12" s="1"/>
  <c r="H8" i="12"/>
  <c r="M8" i="12" s="1"/>
  <c r="N7" i="12"/>
  <c r="I7" i="12"/>
  <c r="J7" i="12" s="1"/>
  <c r="H7" i="12"/>
  <c r="M7" i="12" s="1"/>
  <c r="N6" i="12"/>
  <c r="I6" i="12"/>
  <c r="L6" i="12" s="1"/>
  <c r="H6" i="12"/>
  <c r="K6" i="12" s="1"/>
  <c r="N5" i="12"/>
  <c r="I5" i="12"/>
  <c r="J5" i="12" s="1"/>
  <c r="H5" i="12"/>
  <c r="K5" i="12" s="1"/>
  <c r="N4" i="12"/>
  <c r="I4" i="12"/>
  <c r="J4" i="12" s="1"/>
  <c r="H4" i="12"/>
  <c r="M4" i="12" s="1"/>
  <c r="N3" i="12"/>
  <c r="I3" i="12"/>
  <c r="L3" i="12" s="1"/>
  <c r="H3" i="12"/>
  <c r="M3" i="12" s="1"/>
  <c r="N2" i="12"/>
  <c r="I2" i="12"/>
  <c r="L2" i="12" s="1"/>
  <c r="H2" i="12"/>
  <c r="K2" i="12" s="1"/>
  <c r="N144" i="2"/>
  <c r="I144" i="2"/>
  <c r="L144" i="2" s="1"/>
  <c r="H144" i="2"/>
  <c r="M144" i="2" s="1"/>
  <c r="N143" i="2"/>
  <c r="I143" i="2"/>
  <c r="L143" i="2" s="1"/>
  <c r="H143" i="2"/>
  <c r="K143" i="2" s="1"/>
  <c r="N142" i="2"/>
  <c r="I142" i="2"/>
  <c r="H142" i="2"/>
  <c r="K142" i="2" s="1"/>
  <c r="N141" i="2"/>
  <c r="I141" i="2"/>
  <c r="J141" i="2" s="1"/>
  <c r="H141" i="2"/>
  <c r="N140" i="2"/>
  <c r="I140" i="2"/>
  <c r="L140" i="2" s="1"/>
  <c r="H140" i="2"/>
  <c r="M140" i="2" s="1"/>
  <c r="N139" i="2"/>
  <c r="I139" i="2"/>
  <c r="L139" i="2" s="1"/>
  <c r="H139" i="2"/>
  <c r="K139" i="2" s="1"/>
  <c r="N138" i="2"/>
  <c r="I138" i="2"/>
  <c r="H138" i="2"/>
  <c r="N137" i="2"/>
  <c r="I137" i="2"/>
  <c r="J137" i="2" s="1"/>
  <c r="H137" i="2"/>
  <c r="N136" i="2"/>
  <c r="I136" i="2"/>
  <c r="L136" i="2" s="1"/>
  <c r="H136" i="2"/>
  <c r="N135" i="2"/>
  <c r="I135" i="2"/>
  <c r="L135" i="2" s="1"/>
  <c r="H135" i="2"/>
  <c r="N134" i="2"/>
  <c r="I134" i="2"/>
  <c r="H134" i="2"/>
  <c r="N133" i="2"/>
  <c r="I133" i="2"/>
  <c r="L133" i="2" s="1"/>
  <c r="H133" i="2"/>
  <c r="N132" i="2"/>
  <c r="I132" i="2"/>
  <c r="L132" i="2" s="1"/>
  <c r="H132" i="2"/>
  <c r="M132" i="2" s="1"/>
  <c r="N131" i="2"/>
  <c r="I131" i="2"/>
  <c r="L131" i="2" s="1"/>
  <c r="H131" i="2"/>
  <c r="K131" i="2" s="1"/>
  <c r="N130" i="2"/>
  <c r="I130" i="2"/>
  <c r="H130" i="2"/>
  <c r="K130" i="2" s="1"/>
  <c r="N129" i="2"/>
  <c r="I129" i="2"/>
  <c r="L129" i="2" s="1"/>
  <c r="H129" i="2"/>
  <c r="N128" i="2"/>
  <c r="I128" i="2"/>
  <c r="L128" i="2" s="1"/>
  <c r="H128" i="2"/>
  <c r="N127" i="2"/>
  <c r="I127" i="2"/>
  <c r="L127" i="2" s="1"/>
  <c r="H127" i="2"/>
  <c r="M127" i="2" s="1"/>
  <c r="N126" i="2"/>
  <c r="I126" i="2"/>
  <c r="H126" i="2"/>
  <c r="K126" i="2" s="1"/>
  <c r="N125" i="2"/>
  <c r="I125" i="2"/>
  <c r="J125" i="2" s="1"/>
  <c r="H125" i="2"/>
  <c r="N124" i="2"/>
  <c r="I124" i="2"/>
  <c r="L124" i="2" s="1"/>
  <c r="H124" i="2"/>
  <c r="M124" i="2" s="1"/>
  <c r="N123" i="2"/>
  <c r="I123" i="2"/>
  <c r="L123" i="2" s="1"/>
  <c r="H123" i="2"/>
  <c r="K123" i="2" s="1"/>
  <c r="N122" i="2"/>
  <c r="I122" i="2"/>
  <c r="H122" i="2"/>
  <c r="N121" i="2"/>
  <c r="I121" i="2"/>
  <c r="J121" i="2" s="1"/>
  <c r="H121" i="2"/>
  <c r="N120" i="2"/>
  <c r="I120" i="2"/>
  <c r="L120" i="2" s="1"/>
  <c r="H120" i="2"/>
  <c r="K120" i="2" s="1"/>
  <c r="N119" i="2"/>
  <c r="I119" i="2"/>
  <c r="L119" i="2" s="1"/>
  <c r="H119" i="2"/>
  <c r="M119" i="2" s="1"/>
  <c r="N118" i="2"/>
  <c r="I118" i="2"/>
  <c r="H118" i="2"/>
  <c r="K118" i="2" s="1"/>
  <c r="N117" i="2"/>
  <c r="I117" i="2"/>
  <c r="J117" i="2" s="1"/>
  <c r="H117" i="2"/>
  <c r="N116" i="2"/>
  <c r="I116" i="2"/>
  <c r="J116" i="2" s="1"/>
  <c r="H116" i="2"/>
  <c r="M116" i="2" s="1"/>
  <c r="N115" i="2"/>
  <c r="I115" i="2"/>
  <c r="L115" i="2" s="1"/>
  <c r="H115" i="2"/>
  <c r="M115" i="2" s="1"/>
  <c r="N114" i="2"/>
  <c r="I114" i="2"/>
  <c r="H114" i="2"/>
  <c r="N113" i="2"/>
  <c r="I113" i="2"/>
  <c r="L113" i="2" s="1"/>
  <c r="H113" i="2"/>
  <c r="N112" i="2"/>
  <c r="I112" i="2"/>
  <c r="J112" i="2" s="1"/>
  <c r="H112" i="2"/>
  <c r="K112" i="2" s="1"/>
  <c r="N111" i="2"/>
  <c r="I111" i="2"/>
  <c r="L111" i="2" s="1"/>
  <c r="H111" i="2"/>
  <c r="M111" i="2" s="1"/>
  <c r="N110" i="2"/>
  <c r="I110" i="2"/>
  <c r="H110" i="2"/>
  <c r="M110" i="2" s="1"/>
  <c r="N108" i="2"/>
  <c r="I108" i="2"/>
  <c r="L108" i="2" s="1"/>
  <c r="H108" i="2"/>
  <c r="N107" i="2"/>
  <c r="I107" i="2"/>
  <c r="J107" i="2" s="1"/>
  <c r="H107" i="2"/>
  <c r="M107" i="2" s="1"/>
  <c r="N106" i="2"/>
  <c r="I106" i="2"/>
  <c r="L106" i="2" s="1"/>
  <c r="H106" i="2"/>
  <c r="M106" i="2" s="1"/>
  <c r="N105" i="2"/>
  <c r="I105" i="2"/>
  <c r="H105" i="2"/>
  <c r="K105" i="2" s="1"/>
  <c r="N104" i="2"/>
  <c r="I104" i="2"/>
  <c r="L104" i="2" s="1"/>
  <c r="H104" i="2"/>
  <c r="N103" i="2"/>
  <c r="I103" i="2"/>
  <c r="J103" i="2" s="1"/>
  <c r="H103" i="2"/>
  <c r="K103" i="2" s="1"/>
  <c r="N102" i="2"/>
  <c r="I102" i="2"/>
  <c r="J102" i="2" s="1"/>
  <c r="H102" i="2"/>
  <c r="M102" i="2" s="1"/>
  <c r="N101" i="2"/>
  <c r="I101" i="2"/>
  <c r="H101" i="2"/>
  <c r="M101" i="2" s="1"/>
  <c r="N100" i="2"/>
  <c r="I100" i="2"/>
  <c r="L100" i="2" s="1"/>
  <c r="H100" i="2"/>
  <c r="N99" i="2"/>
  <c r="I99" i="2"/>
  <c r="J99" i="2" s="1"/>
  <c r="H99" i="2"/>
  <c r="M99" i="2" s="1"/>
  <c r="N98" i="2"/>
  <c r="I98" i="2"/>
  <c r="L98" i="2" s="1"/>
  <c r="H98" i="2"/>
  <c r="M98" i="2" s="1"/>
  <c r="N97" i="2"/>
  <c r="I97" i="2"/>
  <c r="H97" i="2"/>
  <c r="K97" i="2" s="1"/>
  <c r="N96" i="2"/>
  <c r="I96" i="2"/>
  <c r="L96" i="2" s="1"/>
  <c r="H96" i="2"/>
  <c r="N95" i="2"/>
  <c r="I95" i="2"/>
  <c r="J95" i="2" s="1"/>
  <c r="H95" i="2"/>
  <c r="K95" i="2" s="1"/>
  <c r="N94" i="2"/>
  <c r="I94" i="2"/>
  <c r="L94" i="2" s="1"/>
  <c r="H94" i="2"/>
  <c r="M94" i="2" s="1"/>
  <c r="N93" i="2"/>
  <c r="I93" i="2"/>
  <c r="H93" i="2"/>
  <c r="M93" i="2" s="1"/>
  <c r="N92" i="2"/>
  <c r="I92" i="2"/>
  <c r="L92" i="2" s="1"/>
  <c r="H92" i="2"/>
  <c r="N91" i="2"/>
  <c r="I91" i="2"/>
  <c r="J91" i="2" s="1"/>
  <c r="H91" i="2"/>
  <c r="M91" i="2" s="1"/>
  <c r="N90" i="2"/>
  <c r="I90" i="2"/>
  <c r="L90" i="2" s="1"/>
  <c r="H90" i="2"/>
  <c r="M90" i="2" s="1"/>
  <c r="N89" i="2"/>
  <c r="I89" i="2"/>
  <c r="H89" i="2"/>
  <c r="K89" i="2" s="1"/>
  <c r="N88" i="2"/>
  <c r="I88" i="2"/>
  <c r="L88" i="2" s="1"/>
  <c r="H88" i="2"/>
  <c r="N87" i="2"/>
  <c r="I87" i="2"/>
  <c r="J87" i="2" s="1"/>
  <c r="H87" i="2"/>
  <c r="K87" i="2" s="1"/>
  <c r="N86" i="2"/>
  <c r="I86" i="2"/>
  <c r="L86" i="2" s="1"/>
  <c r="H86" i="2"/>
  <c r="M86" i="2" s="1"/>
  <c r="N85" i="2"/>
  <c r="I85" i="2"/>
  <c r="H85" i="2"/>
  <c r="K85" i="2" s="1"/>
  <c r="N84" i="2"/>
  <c r="I84" i="2"/>
  <c r="L84" i="2" s="1"/>
  <c r="H84" i="2"/>
  <c r="N83" i="2"/>
  <c r="I83" i="2"/>
  <c r="J83" i="2" s="1"/>
  <c r="H83" i="2"/>
  <c r="K83" i="2" s="1"/>
  <c r="N82" i="2"/>
  <c r="I82" i="2"/>
  <c r="J82" i="2" s="1"/>
  <c r="H82" i="2"/>
  <c r="M82" i="2" s="1"/>
  <c r="N81" i="2"/>
  <c r="I81" i="2"/>
  <c r="H81" i="2"/>
  <c r="K81" i="2" s="1"/>
  <c r="N80" i="2"/>
  <c r="I80" i="2"/>
  <c r="L80" i="2" s="1"/>
  <c r="H80" i="2"/>
  <c r="N78" i="2"/>
  <c r="I78" i="2"/>
  <c r="J78" i="2" s="1"/>
  <c r="H78" i="2"/>
  <c r="N77" i="2"/>
  <c r="I77" i="2"/>
  <c r="J77" i="2" s="1"/>
  <c r="H77" i="2"/>
  <c r="M77" i="2" s="1"/>
  <c r="N76" i="2"/>
  <c r="I76" i="2"/>
  <c r="H76" i="2"/>
  <c r="M76" i="2" s="1"/>
  <c r="N75" i="2"/>
  <c r="I75" i="2"/>
  <c r="L75" i="2" s="1"/>
  <c r="H75" i="2"/>
  <c r="N74" i="2"/>
  <c r="I74" i="2"/>
  <c r="J74" i="2" s="1"/>
  <c r="H74" i="2"/>
  <c r="M74" i="2" s="1"/>
  <c r="N73" i="2"/>
  <c r="I73" i="2"/>
  <c r="L73" i="2" s="1"/>
  <c r="H73" i="2"/>
  <c r="M73" i="2" s="1"/>
  <c r="N72" i="2"/>
  <c r="I72" i="2"/>
  <c r="H72" i="2"/>
  <c r="K72" i="2" s="1"/>
  <c r="N71" i="2"/>
  <c r="I71" i="2"/>
  <c r="L71" i="2" s="1"/>
  <c r="H71" i="2"/>
  <c r="N70" i="2"/>
  <c r="I70" i="2"/>
  <c r="J70" i="2" s="1"/>
  <c r="H70" i="2"/>
  <c r="K70" i="2" s="1"/>
  <c r="N69" i="2"/>
  <c r="I69" i="2"/>
  <c r="L69" i="2" s="1"/>
  <c r="H69" i="2"/>
  <c r="N68" i="2"/>
  <c r="I68" i="2"/>
  <c r="H68" i="2"/>
  <c r="K68" i="2" s="1"/>
  <c r="N67" i="2"/>
  <c r="I67" i="2"/>
  <c r="L67" i="2" s="1"/>
  <c r="H67" i="2"/>
  <c r="N66" i="2"/>
  <c r="I66" i="2"/>
  <c r="H66" i="2"/>
  <c r="K66" i="2" s="1"/>
  <c r="N65" i="2"/>
  <c r="I65" i="2"/>
  <c r="J65" i="2" s="1"/>
  <c r="H65" i="2"/>
  <c r="N64" i="2"/>
  <c r="I64" i="2"/>
  <c r="H64" i="2"/>
  <c r="K64" i="2" s="1"/>
  <c r="N63" i="2"/>
  <c r="I63" i="2"/>
  <c r="L63" i="2" s="1"/>
  <c r="H63" i="2"/>
  <c r="N62" i="2"/>
  <c r="I62" i="2"/>
  <c r="H62" i="2"/>
  <c r="N61" i="2"/>
  <c r="I61" i="2"/>
  <c r="L61" i="2" s="1"/>
  <c r="H61" i="2"/>
  <c r="N60" i="2"/>
  <c r="I60" i="2"/>
  <c r="J60" i="2" s="1"/>
  <c r="H60" i="2"/>
  <c r="M60" i="2" s="1"/>
  <c r="N59" i="2"/>
  <c r="I59" i="2"/>
  <c r="J59" i="2" s="1"/>
  <c r="H59" i="2"/>
  <c r="M59" i="2" s="1"/>
  <c r="N58" i="2"/>
  <c r="I58" i="2"/>
  <c r="L58" i="2" s="1"/>
  <c r="H58" i="2"/>
  <c r="K58" i="2" s="1"/>
  <c r="N57" i="2"/>
  <c r="I57" i="2"/>
  <c r="L57" i="2" s="1"/>
  <c r="H57" i="2"/>
  <c r="K57" i="2" s="1"/>
  <c r="N56" i="2"/>
  <c r="I56" i="2"/>
  <c r="J56" i="2" s="1"/>
  <c r="H56" i="2"/>
  <c r="K56" i="2" s="1"/>
  <c r="N55" i="2"/>
  <c r="I55" i="2"/>
  <c r="J55" i="2" s="1"/>
  <c r="H55" i="2"/>
  <c r="M55" i="2" s="1"/>
  <c r="N54" i="2"/>
  <c r="I54" i="2"/>
  <c r="L54" i="2" s="1"/>
  <c r="H54" i="2"/>
  <c r="M54" i="2" s="1"/>
  <c r="N53" i="2"/>
  <c r="I53" i="2"/>
  <c r="L53" i="2" s="1"/>
  <c r="H53" i="2"/>
  <c r="K53" i="2" s="1"/>
  <c r="N52" i="2"/>
  <c r="I52" i="2"/>
  <c r="J52" i="2" s="1"/>
  <c r="H52" i="2"/>
  <c r="K52" i="2" s="1"/>
  <c r="N51" i="2"/>
  <c r="I51" i="2"/>
  <c r="J51" i="2" s="1"/>
  <c r="H51" i="2"/>
  <c r="M51" i="2" s="1"/>
  <c r="N50" i="2"/>
  <c r="I50" i="2"/>
  <c r="L50" i="2" s="1"/>
  <c r="H50" i="2"/>
  <c r="K50" i="2" s="1"/>
  <c r="N49" i="2"/>
  <c r="I49" i="2"/>
  <c r="L49" i="2" s="1"/>
  <c r="H49" i="2"/>
  <c r="N48" i="2"/>
  <c r="I48" i="2"/>
  <c r="J48" i="2" s="1"/>
  <c r="H48" i="2"/>
  <c r="K48" i="2" s="1"/>
  <c r="N47" i="2"/>
  <c r="I47" i="2"/>
  <c r="J47" i="2" s="1"/>
  <c r="H47" i="2"/>
  <c r="N46" i="2"/>
  <c r="I46" i="2"/>
  <c r="L46" i="2" s="1"/>
  <c r="H46" i="2"/>
  <c r="M46" i="2" s="1"/>
  <c r="N45" i="2"/>
  <c r="I45" i="2"/>
  <c r="L45" i="2" s="1"/>
  <c r="H45" i="2"/>
  <c r="K45" i="2" s="1"/>
  <c r="N44" i="2"/>
  <c r="I44" i="2"/>
  <c r="J44" i="2" s="1"/>
  <c r="H44" i="2"/>
  <c r="K44" i="2" s="1"/>
  <c r="N43" i="2"/>
  <c r="I43" i="2"/>
  <c r="J43" i="2" s="1"/>
  <c r="H43" i="2"/>
  <c r="M43" i="2" s="1"/>
  <c r="N42" i="2"/>
  <c r="I42" i="2"/>
  <c r="L42" i="2" s="1"/>
  <c r="H42" i="2"/>
  <c r="M42" i="2" s="1"/>
  <c r="N41" i="2"/>
  <c r="I41" i="2"/>
  <c r="L41" i="2" s="1"/>
  <c r="H41" i="2"/>
  <c r="K41" i="2" s="1"/>
  <c r="N40" i="2"/>
  <c r="I40" i="2"/>
  <c r="J40" i="2" s="1"/>
  <c r="H40" i="2"/>
  <c r="K40" i="2" s="1"/>
  <c r="N39" i="2"/>
  <c r="I39" i="2"/>
  <c r="J39" i="2" s="1"/>
  <c r="H39" i="2"/>
  <c r="M39" i="2" s="1"/>
  <c r="N38" i="2"/>
  <c r="I38" i="2"/>
  <c r="L38" i="2" s="1"/>
  <c r="H38" i="2"/>
  <c r="M38" i="2" s="1"/>
  <c r="N37" i="2"/>
  <c r="I37" i="2"/>
  <c r="L37" i="2" s="1"/>
  <c r="H37" i="2"/>
  <c r="K37" i="2" s="1"/>
  <c r="N36" i="2"/>
  <c r="I36" i="2"/>
  <c r="J36" i="2" s="1"/>
  <c r="H36" i="2"/>
  <c r="K36" i="2" s="1"/>
  <c r="N35" i="2"/>
  <c r="I35" i="2"/>
  <c r="J35" i="2" s="1"/>
  <c r="H35" i="2"/>
  <c r="M35" i="2" s="1"/>
  <c r="N34" i="2"/>
  <c r="I34" i="2"/>
  <c r="L34" i="2" s="1"/>
  <c r="H34" i="2"/>
  <c r="K34" i="2" s="1"/>
  <c r="N33" i="2"/>
  <c r="I33" i="2"/>
  <c r="L33" i="2" s="1"/>
  <c r="H33" i="2"/>
  <c r="N32" i="2"/>
  <c r="I32" i="2"/>
  <c r="J32" i="2" s="1"/>
  <c r="H32" i="2"/>
  <c r="K32" i="2" s="1"/>
  <c r="N31" i="2"/>
  <c r="I31" i="2"/>
  <c r="J31" i="2" s="1"/>
  <c r="H31" i="2"/>
  <c r="N30" i="2"/>
  <c r="I30" i="2"/>
  <c r="L30" i="2" s="1"/>
  <c r="H30" i="2"/>
  <c r="M30" i="2" s="1"/>
  <c r="N29" i="2"/>
  <c r="I29" i="2"/>
  <c r="L29" i="2" s="1"/>
  <c r="H29" i="2"/>
  <c r="K29" i="2" s="1"/>
  <c r="N28" i="2"/>
  <c r="I28" i="2"/>
  <c r="J28" i="2" s="1"/>
  <c r="H28" i="2"/>
  <c r="K28" i="2" s="1"/>
  <c r="N27" i="2"/>
  <c r="I27" i="2"/>
  <c r="J27" i="2" s="1"/>
  <c r="H27" i="2"/>
  <c r="M27" i="2" s="1"/>
  <c r="N26" i="2"/>
  <c r="I26" i="2"/>
  <c r="L26" i="2" s="1"/>
  <c r="H26" i="2"/>
  <c r="K26" i="2" s="1"/>
  <c r="N25" i="2"/>
  <c r="I25" i="2"/>
  <c r="L25" i="2" s="1"/>
  <c r="H25" i="2"/>
  <c r="K25" i="2" s="1"/>
  <c r="N24" i="2"/>
  <c r="I24" i="2"/>
  <c r="J24" i="2" s="1"/>
  <c r="H24" i="2"/>
  <c r="K24" i="2" s="1"/>
  <c r="N23" i="2"/>
  <c r="I23" i="2"/>
  <c r="J23" i="2" s="1"/>
  <c r="H23" i="2"/>
  <c r="M23" i="2" s="1"/>
  <c r="N22" i="2"/>
  <c r="I22" i="2"/>
  <c r="L22" i="2" s="1"/>
  <c r="H22" i="2"/>
  <c r="M22" i="2" s="1"/>
  <c r="N21" i="2"/>
  <c r="I21" i="2"/>
  <c r="L21" i="2" s="1"/>
  <c r="H21" i="2"/>
  <c r="K21" i="2" s="1"/>
  <c r="N20" i="2"/>
  <c r="I20" i="2"/>
  <c r="J20" i="2" s="1"/>
  <c r="H20" i="2"/>
  <c r="K20" i="2" s="1"/>
  <c r="N19" i="2"/>
  <c r="I19" i="2"/>
  <c r="J19" i="2" s="1"/>
  <c r="H19" i="2"/>
  <c r="M19" i="2" s="1"/>
  <c r="N18" i="2"/>
  <c r="I18" i="2"/>
  <c r="L18" i="2" s="1"/>
  <c r="H18" i="2"/>
  <c r="K18" i="2" s="1"/>
  <c r="N17" i="2"/>
  <c r="I17" i="2"/>
  <c r="L17" i="2" s="1"/>
  <c r="H17" i="2"/>
  <c r="N16" i="2"/>
  <c r="I16" i="2"/>
  <c r="J16" i="2" s="1"/>
  <c r="H16" i="2"/>
  <c r="K16" i="2" s="1"/>
  <c r="N15" i="2"/>
  <c r="I15" i="2"/>
  <c r="J15" i="2" s="1"/>
  <c r="H15" i="2"/>
  <c r="M15" i="2" s="1"/>
  <c r="N14" i="2"/>
  <c r="I14" i="2"/>
  <c r="L14" i="2" s="1"/>
  <c r="H14" i="2"/>
  <c r="M14" i="2" s="1"/>
  <c r="N13" i="2"/>
  <c r="I13" i="2"/>
  <c r="L13" i="2" s="1"/>
  <c r="H13" i="2"/>
  <c r="K13" i="2" s="1"/>
  <c r="N12" i="2"/>
  <c r="I12" i="2"/>
  <c r="J12" i="2" s="1"/>
  <c r="H12" i="2"/>
  <c r="K12" i="2" s="1"/>
  <c r="N11" i="2"/>
  <c r="I11" i="2"/>
  <c r="J11" i="2" s="1"/>
  <c r="H11" i="2"/>
  <c r="M11" i="2" s="1"/>
  <c r="N10" i="2"/>
  <c r="I10" i="2"/>
  <c r="L10" i="2" s="1"/>
  <c r="H10" i="2"/>
  <c r="K10" i="2" s="1"/>
  <c r="N9" i="2"/>
  <c r="I9" i="2"/>
  <c r="L9" i="2" s="1"/>
  <c r="H9" i="2"/>
  <c r="N8" i="2"/>
  <c r="I8" i="2"/>
  <c r="J8" i="2" s="1"/>
  <c r="H8" i="2"/>
  <c r="K8" i="2" s="1"/>
  <c r="N7" i="2"/>
  <c r="I7" i="2"/>
  <c r="J7" i="2" s="1"/>
  <c r="H7" i="2"/>
  <c r="N6" i="2"/>
  <c r="I6" i="2"/>
  <c r="L6" i="2" s="1"/>
  <c r="H6" i="2"/>
  <c r="M6" i="2" s="1"/>
  <c r="N5" i="2"/>
  <c r="I5" i="2"/>
  <c r="L5" i="2" s="1"/>
  <c r="H5" i="2"/>
  <c r="K5" i="2" s="1"/>
  <c r="N4" i="2"/>
  <c r="I4" i="2"/>
  <c r="J4" i="2" s="1"/>
  <c r="H4" i="2"/>
  <c r="K4" i="2" s="1"/>
  <c r="N3" i="2"/>
  <c r="I3" i="2"/>
  <c r="J3" i="2" s="1"/>
  <c r="H3" i="2"/>
  <c r="M3" i="2" s="1"/>
  <c r="N2" i="2"/>
  <c r="I2" i="2"/>
  <c r="L2" i="2" s="1"/>
  <c r="H2" i="2"/>
  <c r="M2" i="2" s="1"/>
  <c r="N144" i="3"/>
  <c r="I144" i="3"/>
  <c r="J144" i="3" s="1"/>
  <c r="H144" i="3"/>
  <c r="M144" i="3" s="1"/>
  <c r="N143" i="3"/>
  <c r="I143" i="3"/>
  <c r="L143" i="3" s="1"/>
  <c r="H143" i="3"/>
  <c r="M143" i="3" s="1"/>
  <c r="N142" i="3"/>
  <c r="I142" i="3"/>
  <c r="H142" i="3"/>
  <c r="K142" i="3" s="1"/>
  <c r="N141" i="3"/>
  <c r="I141" i="3"/>
  <c r="J141" i="3" s="1"/>
  <c r="H141" i="3"/>
  <c r="N140" i="3"/>
  <c r="I140" i="3"/>
  <c r="L140" i="3" s="1"/>
  <c r="H140" i="3"/>
  <c r="M140" i="3" s="1"/>
  <c r="N139" i="3"/>
  <c r="I139" i="3"/>
  <c r="L139" i="3" s="1"/>
  <c r="H139" i="3"/>
  <c r="M139" i="3" s="1"/>
  <c r="N138" i="3"/>
  <c r="I138" i="3"/>
  <c r="H138" i="3"/>
  <c r="K138" i="3" s="1"/>
  <c r="N137" i="3"/>
  <c r="I137" i="3"/>
  <c r="J137" i="3" s="1"/>
  <c r="H137" i="3"/>
  <c r="N136" i="3"/>
  <c r="I136" i="3"/>
  <c r="L136" i="3" s="1"/>
  <c r="H136" i="3"/>
  <c r="M136" i="3" s="1"/>
  <c r="N135" i="3"/>
  <c r="I135" i="3"/>
  <c r="L135" i="3" s="1"/>
  <c r="H135" i="3"/>
  <c r="M135" i="3" s="1"/>
  <c r="N134" i="3"/>
  <c r="I134" i="3"/>
  <c r="H134" i="3"/>
  <c r="K134" i="3" s="1"/>
  <c r="N133" i="3"/>
  <c r="I133" i="3"/>
  <c r="J133" i="3" s="1"/>
  <c r="H133" i="3"/>
  <c r="N132" i="3"/>
  <c r="I132" i="3"/>
  <c r="J132" i="3" s="1"/>
  <c r="H132" i="3"/>
  <c r="N131" i="3"/>
  <c r="I131" i="3"/>
  <c r="L131" i="3" s="1"/>
  <c r="H131" i="3"/>
  <c r="N130" i="3"/>
  <c r="I130" i="3"/>
  <c r="H130" i="3"/>
  <c r="N129" i="3"/>
  <c r="I129" i="3"/>
  <c r="J129" i="3" s="1"/>
  <c r="H129" i="3"/>
  <c r="N128" i="3"/>
  <c r="I128" i="3"/>
  <c r="J128" i="3" s="1"/>
  <c r="H128" i="3"/>
  <c r="M128" i="3" s="1"/>
  <c r="N127" i="3"/>
  <c r="I127" i="3"/>
  <c r="L127" i="3" s="1"/>
  <c r="H127" i="3"/>
  <c r="M127" i="3" s="1"/>
  <c r="N126" i="3"/>
  <c r="I126" i="3"/>
  <c r="H126" i="3"/>
  <c r="N125" i="3"/>
  <c r="I125" i="3"/>
  <c r="J125" i="3" s="1"/>
  <c r="H125" i="3"/>
  <c r="N124" i="3"/>
  <c r="I124" i="3"/>
  <c r="J124" i="3" s="1"/>
  <c r="H124" i="3"/>
  <c r="M124" i="3" s="1"/>
  <c r="N123" i="3"/>
  <c r="I123" i="3"/>
  <c r="L123" i="3" s="1"/>
  <c r="H123" i="3"/>
  <c r="M123" i="3" s="1"/>
  <c r="N122" i="3"/>
  <c r="I122" i="3"/>
  <c r="H122" i="3"/>
  <c r="K122" i="3" s="1"/>
  <c r="N121" i="3"/>
  <c r="I121" i="3"/>
  <c r="J121" i="3" s="1"/>
  <c r="H121" i="3"/>
  <c r="N120" i="3"/>
  <c r="I120" i="3"/>
  <c r="J120" i="3" s="1"/>
  <c r="H120" i="3"/>
  <c r="M120" i="3" s="1"/>
  <c r="N119" i="3"/>
  <c r="I119" i="3"/>
  <c r="L119" i="3" s="1"/>
  <c r="H119" i="3"/>
  <c r="M119" i="3" s="1"/>
  <c r="N118" i="3"/>
  <c r="I118" i="3"/>
  <c r="H118" i="3"/>
  <c r="K118" i="3" s="1"/>
  <c r="N117" i="3"/>
  <c r="I117" i="3"/>
  <c r="J117" i="3" s="1"/>
  <c r="H117" i="3"/>
  <c r="N116" i="3"/>
  <c r="I116" i="3"/>
  <c r="J116" i="3" s="1"/>
  <c r="H116" i="3"/>
  <c r="M116" i="3" s="1"/>
  <c r="N115" i="3"/>
  <c r="I115" i="3"/>
  <c r="J115" i="3" s="1"/>
  <c r="H115" i="3"/>
  <c r="M115" i="3" s="1"/>
  <c r="N114" i="3"/>
  <c r="I114" i="3"/>
  <c r="H114" i="3"/>
  <c r="K114" i="3" s="1"/>
  <c r="N113" i="3"/>
  <c r="I113" i="3"/>
  <c r="J113" i="3" s="1"/>
  <c r="H113" i="3"/>
  <c r="N112" i="3"/>
  <c r="I112" i="3"/>
  <c r="J112" i="3" s="1"/>
  <c r="H112" i="3"/>
  <c r="M112" i="3" s="1"/>
  <c r="N111" i="3"/>
  <c r="I111" i="3"/>
  <c r="L111" i="3" s="1"/>
  <c r="H111" i="3"/>
  <c r="M111" i="3" s="1"/>
  <c r="N110" i="3"/>
  <c r="I110" i="3"/>
  <c r="H110" i="3"/>
  <c r="M110" i="3" s="1"/>
  <c r="N108" i="3"/>
  <c r="I108" i="3"/>
  <c r="J108" i="3" s="1"/>
  <c r="H108" i="3"/>
  <c r="N107" i="3"/>
  <c r="I107" i="3"/>
  <c r="J107" i="3" s="1"/>
  <c r="H107" i="3"/>
  <c r="K107" i="3" s="1"/>
  <c r="N106" i="3"/>
  <c r="I106" i="3"/>
  <c r="L106" i="3" s="1"/>
  <c r="H106" i="3"/>
  <c r="M106" i="3" s="1"/>
  <c r="N105" i="3"/>
  <c r="I105" i="3"/>
  <c r="H105" i="3"/>
  <c r="K105" i="3" s="1"/>
  <c r="N104" i="3"/>
  <c r="I104" i="3"/>
  <c r="J104" i="3" s="1"/>
  <c r="H104" i="3"/>
  <c r="N103" i="3"/>
  <c r="I103" i="3"/>
  <c r="J103" i="3" s="1"/>
  <c r="H103" i="3"/>
  <c r="M103" i="3" s="1"/>
  <c r="N102" i="3"/>
  <c r="I102" i="3"/>
  <c r="J102" i="3" s="1"/>
  <c r="H102" i="3"/>
  <c r="M102" i="3" s="1"/>
  <c r="N101" i="3"/>
  <c r="I101" i="3"/>
  <c r="H101" i="3"/>
  <c r="M101" i="3" s="1"/>
  <c r="N100" i="3"/>
  <c r="I100" i="3"/>
  <c r="J100" i="3" s="1"/>
  <c r="H100" i="3"/>
  <c r="N99" i="3"/>
  <c r="I99" i="3"/>
  <c r="J99" i="3" s="1"/>
  <c r="H99" i="3"/>
  <c r="K99" i="3" s="1"/>
  <c r="N98" i="3"/>
  <c r="I98" i="3"/>
  <c r="L98" i="3" s="1"/>
  <c r="H98" i="3"/>
  <c r="M98" i="3" s="1"/>
  <c r="N97" i="3"/>
  <c r="I97" i="3"/>
  <c r="H97" i="3"/>
  <c r="K97" i="3" s="1"/>
  <c r="N96" i="3"/>
  <c r="I96" i="3"/>
  <c r="J96" i="3" s="1"/>
  <c r="H96" i="3"/>
  <c r="N95" i="3"/>
  <c r="I95" i="3"/>
  <c r="J95" i="3" s="1"/>
  <c r="H95" i="3"/>
  <c r="M95" i="3" s="1"/>
  <c r="N94" i="3"/>
  <c r="I94" i="3"/>
  <c r="J94" i="3" s="1"/>
  <c r="H94" i="3"/>
  <c r="M94" i="3" s="1"/>
  <c r="N93" i="3"/>
  <c r="I93" i="3"/>
  <c r="H93" i="3"/>
  <c r="M93" i="3" s="1"/>
  <c r="N92" i="3"/>
  <c r="I92" i="3"/>
  <c r="J92" i="3" s="1"/>
  <c r="H92" i="3"/>
  <c r="N91" i="3"/>
  <c r="I91" i="3"/>
  <c r="J91" i="3" s="1"/>
  <c r="H91" i="3"/>
  <c r="K91" i="3" s="1"/>
  <c r="N90" i="3"/>
  <c r="I90" i="3"/>
  <c r="L90" i="3" s="1"/>
  <c r="H90" i="3"/>
  <c r="M90" i="3" s="1"/>
  <c r="N89" i="3"/>
  <c r="I89" i="3"/>
  <c r="H89" i="3"/>
  <c r="K89" i="3" s="1"/>
  <c r="N88" i="3"/>
  <c r="I88" i="3"/>
  <c r="J88" i="3" s="1"/>
  <c r="H88" i="3"/>
  <c r="N87" i="3"/>
  <c r="I87" i="3"/>
  <c r="J87" i="3" s="1"/>
  <c r="H87" i="3"/>
  <c r="M87" i="3" s="1"/>
  <c r="N86" i="3"/>
  <c r="I86" i="3"/>
  <c r="J86" i="3" s="1"/>
  <c r="H86" i="3"/>
  <c r="M86" i="3" s="1"/>
  <c r="N85" i="3"/>
  <c r="I85" i="3"/>
  <c r="H85" i="3"/>
  <c r="M85" i="3" s="1"/>
  <c r="N84" i="3"/>
  <c r="I84" i="3"/>
  <c r="J84" i="3" s="1"/>
  <c r="H84" i="3"/>
  <c r="N83" i="3"/>
  <c r="I83" i="3"/>
  <c r="J83" i="3" s="1"/>
  <c r="H83" i="3"/>
  <c r="M83" i="3" s="1"/>
  <c r="N82" i="3"/>
  <c r="I82" i="3"/>
  <c r="L82" i="3" s="1"/>
  <c r="H82" i="3"/>
  <c r="M82" i="3" s="1"/>
  <c r="N81" i="3"/>
  <c r="I81" i="3"/>
  <c r="H81" i="3"/>
  <c r="M81" i="3" s="1"/>
  <c r="N80" i="3"/>
  <c r="I80" i="3"/>
  <c r="J80" i="3" s="1"/>
  <c r="H80" i="3"/>
  <c r="N78" i="3"/>
  <c r="I78" i="3"/>
  <c r="J78" i="3" s="1"/>
  <c r="H78" i="3"/>
  <c r="M78" i="3" s="1"/>
  <c r="N77" i="3"/>
  <c r="I77" i="3"/>
  <c r="J77" i="3" s="1"/>
  <c r="H77" i="3"/>
  <c r="M77" i="3" s="1"/>
  <c r="N76" i="3"/>
  <c r="I76" i="3"/>
  <c r="H76" i="3"/>
  <c r="M76" i="3" s="1"/>
  <c r="N75" i="3"/>
  <c r="I75" i="3"/>
  <c r="J75" i="3" s="1"/>
  <c r="H75" i="3"/>
  <c r="N74" i="3"/>
  <c r="I74" i="3"/>
  <c r="J74" i="3" s="1"/>
  <c r="H74" i="3"/>
  <c r="K74" i="3" s="1"/>
  <c r="N73" i="3"/>
  <c r="I73" i="3"/>
  <c r="L73" i="3" s="1"/>
  <c r="H73" i="3"/>
  <c r="M73" i="3" s="1"/>
  <c r="N72" i="3"/>
  <c r="I72" i="3"/>
  <c r="H72" i="3"/>
  <c r="K72" i="3" s="1"/>
  <c r="N71" i="3"/>
  <c r="I71" i="3"/>
  <c r="J71" i="3" s="1"/>
  <c r="H71" i="3"/>
  <c r="N70" i="3"/>
  <c r="I70" i="3"/>
  <c r="J70" i="3" s="1"/>
  <c r="H70" i="3"/>
  <c r="M70" i="3" s="1"/>
  <c r="N69" i="3"/>
  <c r="I69" i="3"/>
  <c r="J69" i="3" s="1"/>
  <c r="H69" i="3"/>
  <c r="M69" i="3" s="1"/>
  <c r="N68" i="3"/>
  <c r="I68" i="3"/>
  <c r="H68" i="3"/>
  <c r="M68" i="3" s="1"/>
  <c r="N67" i="3"/>
  <c r="I67" i="3"/>
  <c r="J67" i="3" s="1"/>
  <c r="H67" i="3"/>
  <c r="N66" i="3"/>
  <c r="I66" i="3"/>
  <c r="J66" i="3" s="1"/>
  <c r="H66" i="3"/>
  <c r="M66" i="3" s="1"/>
  <c r="N65" i="3"/>
  <c r="I65" i="3"/>
  <c r="L65" i="3" s="1"/>
  <c r="H65" i="3"/>
  <c r="M65" i="3" s="1"/>
  <c r="N64" i="3"/>
  <c r="I64" i="3"/>
  <c r="H64" i="3"/>
  <c r="M64" i="3" s="1"/>
  <c r="N63" i="3"/>
  <c r="I63" i="3"/>
  <c r="J63" i="3" s="1"/>
  <c r="H63" i="3"/>
  <c r="N62" i="3"/>
  <c r="I62" i="3"/>
  <c r="H62" i="3"/>
  <c r="K62" i="3" s="1"/>
  <c r="N61" i="3"/>
  <c r="I61" i="3"/>
  <c r="J61" i="3" s="1"/>
  <c r="H61" i="3"/>
  <c r="N60" i="3"/>
  <c r="I60" i="3"/>
  <c r="H60" i="3"/>
  <c r="K60" i="3" s="1"/>
  <c r="N59" i="3"/>
  <c r="I59" i="3"/>
  <c r="J59" i="3" s="1"/>
  <c r="H59" i="3"/>
  <c r="N58" i="3"/>
  <c r="I58" i="3"/>
  <c r="H58" i="3"/>
  <c r="K58" i="3" s="1"/>
  <c r="N57" i="3"/>
  <c r="I57" i="3"/>
  <c r="L57" i="3" s="1"/>
  <c r="H57" i="3"/>
  <c r="N56" i="3"/>
  <c r="I56" i="3"/>
  <c r="L56" i="3" s="1"/>
  <c r="H56" i="3"/>
  <c r="K56" i="3" s="1"/>
  <c r="N55" i="3"/>
  <c r="I55" i="3"/>
  <c r="L55" i="3" s="1"/>
  <c r="H55" i="3"/>
  <c r="K55" i="3" s="1"/>
  <c r="N54" i="3"/>
  <c r="I54" i="3"/>
  <c r="J54" i="3" s="1"/>
  <c r="H54" i="3"/>
  <c r="K54" i="3" s="1"/>
  <c r="N53" i="3"/>
  <c r="I53" i="3"/>
  <c r="L53" i="3" s="1"/>
  <c r="H53" i="3"/>
  <c r="K53" i="3" s="1"/>
  <c r="N52" i="3"/>
  <c r="I52" i="3"/>
  <c r="L52" i="3" s="1"/>
  <c r="H52" i="3"/>
  <c r="K52" i="3" s="1"/>
  <c r="N51" i="3"/>
  <c r="I51" i="3"/>
  <c r="J51" i="3" s="1"/>
  <c r="H51" i="3"/>
  <c r="K51" i="3" s="1"/>
  <c r="N50" i="3"/>
  <c r="I50" i="3"/>
  <c r="L50" i="3" s="1"/>
  <c r="H50" i="3"/>
  <c r="M50" i="3" s="1"/>
  <c r="N49" i="3"/>
  <c r="I49" i="3"/>
  <c r="L49" i="3" s="1"/>
  <c r="H49" i="3"/>
  <c r="M49" i="3" s="1"/>
  <c r="N48" i="3"/>
  <c r="I48" i="3"/>
  <c r="L48" i="3" s="1"/>
  <c r="H48" i="3"/>
  <c r="K48" i="3" s="1"/>
  <c r="N47" i="3"/>
  <c r="I47" i="3"/>
  <c r="J47" i="3" s="1"/>
  <c r="H47" i="3"/>
  <c r="K47" i="3" s="1"/>
  <c r="N46" i="3"/>
  <c r="I46" i="3"/>
  <c r="L46" i="3" s="1"/>
  <c r="H46" i="3"/>
  <c r="M46" i="3" s="1"/>
  <c r="N45" i="3"/>
  <c r="I45" i="3"/>
  <c r="L45" i="3" s="1"/>
  <c r="H45" i="3"/>
  <c r="K45" i="3" s="1"/>
  <c r="N44" i="3"/>
  <c r="I44" i="3"/>
  <c r="L44" i="3" s="1"/>
  <c r="H44" i="3"/>
  <c r="K44" i="3" s="1"/>
  <c r="N43" i="3"/>
  <c r="I43" i="3"/>
  <c r="J43" i="3" s="1"/>
  <c r="H43" i="3"/>
  <c r="K43" i="3" s="1"/>
  <c r="N42" i="3"/>
  <c r="I42" i="3"/>
  <c r="L42" i="3" s="1"/>
  <c r="H42" i="3"/>
  <c r="M42" i="3" s="1"/>
  <c r="N41" i="3"/>
  <c r="I41" i="3"/>
  <c r="L41" i="3" s="1"/>
  <c r="H41" i="3"/>
  <c r="M41" i="3" s="1"/>
  <c r="N40" i="3"/>
  <c r="I40" i="3"/>
  <c r="L40" i="3" s="1"/>
  <c r="H40" i="3"/>
  <c r="K40" i="3" s="1"/>
  <c r="N39" i="3"/>
  <c r="I39" i="3"/>
  <c r="J39" i="3" s="1"/>
  <c r="H39" i="3"/>
  <c r="K39" i="3" s="1"/>
  <c r="N38" i="3"/>
  <c r="I38" i="3"/>
  <c r="L38" i="3" s="1"/>
  <c r="H38" i="3"/>
  <c r="M38" i="3" s="1"/>
  <c r="N37" i="3"/>
  <c r="I37" i="3"/>
  <c r="L37" i="3" s="1"/>
  <c r="H37" i="3"/>
  <c r="K37" i="3" s="1"/>
  <c r="N36" i="3"/>
  <c r="I36" i="3"/>
  <c r="L36" i="3" s="1"/>
  <c r="H36" i="3"/>
  <c r="K36" i="3" s="1"/>
  <c r="N35" i="3"/>
  <c r="I35" i="3"/>
  <c r="J35" i="3" s="1"/>
  <c r="H35" i="3"/>
  <c r="K35" i="3" s="1"/>
  <c r="N34" i="3"/>
  <c r="I34" i="3"/>
  <c r="L34" i="3" s="1"/>
  <c r="H34" i="3"/>
  <c r="M34" i="3" s="1"/>
  <c r="N33" i="3"/>
  <c r="I33" i="3"/>
  <c r="L33" i="3" s="1"/>
  <c r="H33" i="3"/>
  <c r="M33" i="3" s="1"/>
  <c r="N32" i="3"/>
  <c r="I32" i="3"/>
  <c r="L32" i="3" s="1"/>
  <c r="H32" i="3"/>
  <c r="M32" i="3" s="1"/>
  <c r="N31" i="3"/>
  <c r="I31" i="3"/>
  <c r="L31" i="3" s="1"/>
  <c r="H31" i="3"/>
  <c r="K31" i="3" s="1"/>
  <c r="N30" i="3"/>
  <c r="I30" i="3"/>
  <c r="J30" i="3" s="1"/>
  <c r="H30" i="3"/>
  <c r="M30" i="3" s="1"/>
  <c r="N29" i="3"/>
  <c r="I29" i="3"/>
  <c r="L29" i="3" s="1"/>
  <c r="H29" i="3"/>
  <c r="M29" i="3" s="1"/>
  <c r="N28" i="3"/>
  <c r="I28" i="3"/>
  <c r="L28" i="3" s="1"/>
  <c r="H28" i="3"/>
  <c r="K28" i="3" s="1"/>
  <c r="N27" i="3"/>
  <c r="I27" i="3"/>
  <c r="L27" i="3" s="1"/>
  <c r="H27" i="3"/>
  <c r="K27" i="3" s="1"/>
  <c r="N26" i="3"/>
  <c r="I26" i="3"/>
  <c r="J26" i="3" s="1"/>
  <c r="H26" i="3"/>
  <c r="K26" i="3" s="1"/>
  <c r="N25" i="3"/>
  <c r="I25" i="3"/>
  <c r="L25" i="3" s="1"/>
  <c r="H25" i="3"/>
  <c r="M25" i="3" s="1"/>
  <c r="N24" i="3"/>
  <c r="I24" i="3"/>
  <c r="L24" i="3" s="1"/>
  <c r="H24" i="3"/>
  <c r="M24" i="3" s="1"/>
  <c r="N23" i="3"/>
  <c r="I23" i="3"/>
  <c r="L23" i="3" s="1"/>
  <c r="H23" i="3"/>
  <c r="K23" i="3" s="1"/>
  <c r="N22" i="3"/>
  <c r="I22" i="3"/>
  <c r="J22" i="3" s="1"/>
  <c r="H22" i="3"/>
  <c r="M22" i="3" s="1"/>
  <c r="N21" i="3"/>
  <c r="I21" i="3"/>
  <c r="L21" i="3" s="1"/>
  <c r="H21" i="3"/>
  <c r="M21" i="3" s="1"/>
  <c r="N20" i="3"/>
  <c r="I20" i="3"/>
  <c r="L20" i="3" s="1"/>
  <c r="H20" i="3"/>
  <c r="K20" i="3" s="1"/>
  <c r="N19" i="3"/>
  <c r="I19" i="3"/>
  <c r="L19" i="3" s="1"/>
  <c r="H19" i="3"/>
  <c r="K19" i="3" s="1"/>
  <c r="N18" i="3"/>
  <c r="I18" i="3"/>
  <c r="J18" i="3" s="1"/>
  <c r="H18" i="3"/>
  <c r="M18" i="3" s="1"/>
  <c r="N17" i="3"/>
  <c r="I17" i="3"/>
  <c r="L17" i="3" s="1"/>
  <c r="H17" i="3"/>
  <c r="M17" i="3" s="1"/>
  <c r="N16" i="3"/>
  <c r="I16" i="3"/>
  <c r="L16" i="3" s="1"/>
  <c r="H16" i="3"/>
  <c r="K16" i="3" s="1"/>
  <c r="N15" i="3"/>
  <c r="I15" i="3"/>
  <c r="J15" i="3" s="1"/>
  <c r="H15" i="3"/>
  <c r="K15" i="3" s="1"/>
  <c r="N14" i="3"/>
  <c r="I14" i="3"/>
  <c r="J14" i="3" s="1"/>
  <c r="H14" i="3"/>
  <c r="K14" i="3" s="1"/>
  <c r="N13" i="3"/>
  <c r="I13" i="3"/>
  <c r="J13" i="3" s="1"/>
  <c r="H13" i="3"/>
  <c r="M13" i="3" s="1"/>
  <c r="N12" i="3"/>
  <c r="I12" i="3"/>
  <c r="L12" i="3" s="1"/>
  <c r="H12" i="3"/>
  <c r="K12" i="3" s="1"/>
  <c r="N11" i="3"/>
  <c r="I11" i="3"/>
  <c r="J11" i="3" s="1"/>
  <c r="H11" i="3"/>
  <c r="K11" i="3" s="1"/>
  <c r="N10" i="3"/>
  <c r="I10" i="3"/>
  <c r="J10" i="3" s="1"/>
  <c r="H10" i="3"/>
  <c r="M10" i="3" s="1"/>
  <c r="N9" i="3"/>
  <c r="I9" i="3"/>
  <c r="L9" i="3" s="1"/>
  <c r="H9" i="3"/>
  <c r="M9" i="3" s="1"/>
  <c r="N8" i="3"/>
  <c r="I8" i="3"/>
  <c r="L8" i="3" s="1"/>
  <c r="H8" i="3"/>
  <c r="M8" i="3" s="1"/>
  <c r="N7" i="3"/>
  <c r="I7" i="3"/>
  <c r="J7" i="3" s="1"/>
  <c r="H7" i="3"/>
  <c r="K7" i="3" s="1"/>
  <c r="N6" i="3"/>
  <c r="I6" i="3"/>
  <c r="J6" i="3" s="1"/>
  <c r="H6" i="3"/>
  <c r="M6" i="3" s="1"/>
  <c r="N5" i="3"/>
  <c r="I5" i="3"/>
  <c r="L5" i="3" s="1"/>
  <c r="H5" i="3"/>
  <c r="M5" i="3" s="1"/>
  <c r="N4" i="3"/>
  <c r="I4" i="3"/>
  <c r="L4" i="3" s="1"/>
  <c r="H4" i="3"/>
  <c r="M4" i="3" s="1"/>
  <c r="N3" i="3"/>
  <c r="I3" i="3"/>
  <c r="J3" i="3" s="1"/>
  <c r="H3" i="3"/>
  <c r="K3" i="3" s="1"/>
  <c r="N2" i="3"/>
  <c r="I2" i="3"/>
  <c r="J2" i="3" s="1"/>
  <c r="H2" i="3"/>
  <c r="K2" i="3" s="1"/>
  <c r="N2" i="11"/>
  <c r="U70" i="1" l="1"/>
  <c r="M146" i="16"/>
  <c r="Q16" i="1" s="1"/>
  <c r="L146" i="16"/>
  <c r="Q14" i="1" s="1"/>
  <c r="K146" i="16"/>
  <c r="Q13" i="1" s="1"/>
  <c r="J146" i="16"/>
  <c r="Q17" i="1" s="1"/>
  <c r="J3" i="9"/>
  <c r="J107" i="15"/>
  <c r="K95" i="17"/>
  <c r="M66" i="18"/>
  <c r="K83" i="10"/>
  <c r="M112" i="5"/>
  <c r="M103" i="14"/>
  <c r="M42" i="7"/>
  <c r="M41" i="2"/>
  <c r="K42" i="2"/>
  <c r="M101" i="4"/>
  <c r="K15" i="12"/>
  <c r="K97" i="17"/>
  <c r="L52" i="15"/>
  <c r="J102" i="17"/>
  <c r="J69" i="17"/>
  <c r="M76" i="17"/>
  <c r="K140" i="4"/>
  <c r="K67" i="15"/>
  <c r="M123" i="15"/>
  <c r="M124" i="15"/>
  <c r="K125" i="15"/>
  <c r="M2" i="10"/>
  <c r="K3" i="10"/>
  <c r="K138" i="4"/>
  <c r="K70" i="17"/>
  <c r="M21" i="2"/>
  <c r="K22" i="2"/>
  <c r="K23" i="2"/>
  <c r="K142" i="5"/>
  <c r="K60" i="14"/>
  <c r="K103" i="4"/>
  <c r="K58" i="13"/>
  <c r="M22" i="18"/>
  <c r="K59" i="9"/>
  <c r="K64" i="9"/>
  <c r="K118" i="8"/>
  <c r="M60" i="3"/>
  <c r="M103" i="2"/>
  <c r="K122" i="12"/>
  <c r="M34" i="10"/>
  <c r="K35" i="10"/>
  <c r="M76" i="10"/>
  <c r="M25" i="5"/>
  <c r="K26" i="5"/>
  <c r="K27" i="5"/>
  <c r="M136" i="5"/>
  <c r="K83" i="7"/>
  <c r="K85" i="7"/>
  <c r="K120" i="4"/>
  <c r="K32" i="3"/>
  <c r="M37" i="3"/>
  <c r="K38" i="3"/>
  <c r="K101" i="2"/>
  <c r="K54" i="12"/>
  <c r="K118" i="5"/>
  <c r="M76" i="7"/>
  <c r="K105" i="4"/>
  <c r="M41" i="17"/>
  <c r="K42" i="17"/>
  <c r="M87" i="17"/>
  <c r="M110" i="17"/>
  <c r="M53" i="18"/>
  <c r="K54" i="18"/>
  <c r="K13" i="6"/>
  <c r="M140" i="13"/>
  <c r="M55" i="4"/>
  <c r="K56" i="4"/>
  <c r="M130" i="18"/>
  <c r="K57" i="6"/>
  <c r="M144" i="6"/>
  <c r="K2" i="9"/>
  <c r="M83" i="9"/>
  <c r="L77" i="14"/>
  <c r="L3" i="18"/>
  <c r="J88" i="6"/>
  <c r="J135" i="17"/>
  <c r="J27" i="18"/>
  <c r="L71" i="9"/>
  <c r="J32" i="14"/>
  <c r="J33" i="14"/>
  <c r="J69" i="7"/>
  <c r="J88" i="7"/>
  <c r="L100" i="3"/>
  <c r="L3" i="2"/>
  <c r="L31" i="2"/>
  <c r="L113" i="5"/>
  <c r="L22" i="14"/>
  <c r="L102" i="4"/>
  <c r="L65" i="6"/>
  <c r="L126" i="12"/>
  <c r="L19" i="9"/>
  <c r="L24" i="15"/>
  <c r="J54" i="15"/>
  <c r="J85" i="15"/>
  <c r="L65" i="2"/>
  <c r="L142" i="12"/>
  <c r="L121" i="5"/>
  <c r="L30" i="14"/>
  <c r="J127" i="14"/>
  <c r="L77" i="4"/>
  <c r="L31" i="17"/>
  <c r="J59" i="18"/>
  <c r="J51" i="9"/>
  <c r="L40" i="13"/>
  <c r="L77" i="2"/>
  <c r="J143" i="14"/>
  <c r="J63" i="4"/>
  <c r="L90" i="4"/>
  <c r="J57" i="6"/>
  <c r="J68" i="6"/>
  <c r="L137" i="9"/>
  <c r="L113" i="8"/>
  <c r="J56" i="15"/>
  <c r="J38" i="13"/>
  <c r="L119" i="13"/>
  <c r="K30" i="3"/>
  <c r="M10" i="2"/>
  <c r="K11" i="2"/>
  <c r="K53" i="12"/>
  <c r="K23" i="10"/>
  <c r="M62" i="10"/>
  <c r="M50" i="5"/>
  <c r="K51" i="5"/>
  <c r="K93" i="5"/>
  <c r="K16" i="7"/>
  <c r="K18" i="7"/>
  <c r="K28" i="7"/>
  <c r="M74" i="17"/>
  <c r="M81" i="17"/>
  <c r="M76" i="6"/>
  <c r="M62" i="3"/>
  <c r="M114" i="3"/>
  <c r="M58" i="2"/>
  <c r="M68" i="2"/>
  <c r="M41" i="12"/>
  <c r="K42" i="12"/>
  <c r="K43" i="12"/>
  <c r="M126" i="5"/>
  <c r="K94" i="14"/>
  <c r="K95" i="14"/>
  <c r="K122" i="14"/>
  <c r="M7" i="4"/>
  <c r="K8" i="4"/>
  <c r="K118" i="4"/>
  <c r="M38" i="17"/>
  <c r="K39" i="17"/>
  <c r="K62" i="17"/>
  <c r="K64" i="17"/>
  <c r="K72" i="17"/>
  <c r="M81" i="9"/>
  <c r="K90" i="8"/>
  <c r="M14" i="12"/>
  <c r="M33" i="5"/>
  <c r="K34" i="5"/>
  <c r="K35" i="5"/>
  <c r="K44" i="4"/>
  <c r="K116" i="4"/>
  <c r="K68" i="18"/>
  <c r="M10" i="9"/>
  <c r="K11" i="9"/>
  <c r="K51" i="9"/>
  <c r="M61" i="8"/>
  <c r="K62" i="8"/>
  <c r="K63" i="8"/>
  <c r="M58" i="3"/>
  <c r="M134" i="3"/>
  <c r="K87" i="5"/>
  <c r="M110" i="5"/>
  <c r="M134" i="5"/>
  <c r="K72" i="14"/>
  <c r="M138" i="14"/>
  <c r="K132" i="7"/>
  <c r="M47" i="4"/>
  <c r="K48" i="4"/>
  <c r="M95" i="4"/>
  <c r="M21" i="17"/>
  <c r="K22" i="17"/>
  <c r="K99" i="6"/>
  <c r="K105" i="6"/>
  <c r="K112" i="6"/>
  <c r="K134" i="6"/>
  <c r="K140" i="6"/>
  <c r="K142" i="6"/>
  <c r="M49" i="8"/>
  <c r="K50" i="8"/>
  <c r="M105" i="8"/>
  <c r="K106" i="8"/>
  <c r="M84" i="15"/>
  <c r="M90" i="15"/>
  <c r="M91" i="15"/>
  <c r="M112" i="13"/>
  <c r="M138" i="13"/>
  <c r="M16" i="3"/>
  <c r="M53" i="3"/>
  <c r="M14" i="3"/>
  <c r="M97" i="3"/>
  <c r="M53" i="2"/>
  <c r="K54" i="2"/>
  <c r="K55" i="2"/>
  <c r="M83" i="2"/>
  <c r="M139" i="2"/>
  <c r="M9" i="12"/>
  <c r="K10" i="12"/>
  <c r="K11" i="12"/>
  <c r="M38" i="12"/>
  <c r="K39" i="12"/>
  <c r="K47" i="12"/>
  <c r="M67" i="12"/>
  <c r="M74" i="10"/>
  <c r="M107" i="10"/>
  <c r="K142" i="10"/>
  <c r="M42" i="5"/>
  <c r="K43" i="5"/>
  <c r="K62" i="5"/>
  <c r="M76" i="5"/>
  <c r="M132" i="5"/>
  <c r="M17" i="14"/>
  <c r="M30" i="7"/>
  <c r="M64" i="7"/>
  <c r="K89" i="7"/>
  <c r="K95" i="7"/>
  <c r="K97" i="7"/>
  <c r="K103" i="7"/>
  <c r="M110" i="7"/>
  <c r="M39" i="4"/>
  <c r="K40" i="4"/>
  <c r="K52" i="4"/>
  <c r="M64" i="4"/>
  <c r="K83" i="4"/>
  <c r="K85" i="4"/>
  <c r="K87" i="4"/>
  <c r="M122" i="17"/>
  <c r="K31" i="18"/>
  <c r="K122" i="18"/>
  <c r="K124" i="18"/>
  <c r="K126" i="18"/>
  <c r="K128" i="18"/>
  <c r="M97" i="6"/>
  <c r="K116" i="6"/>
  <c r="K118" i="6"/>
  <c r="K124" i="6"/>
  <c r="K136" i="9"/>
  <c r="K142" i="9"/>
  <c r="K130" i="8"/>
  <c r="M99" i="15"/>
  <c r="M22" i="13"/>
  <c r="K23" i="13"/>
  <c r="M76" i="13"/>
  <c r="K74" i="2"/>
  <c r="M81" i="2"/>
  <c r="M57" i="12"/>
  <c r="M71" i="12"/>
  <c r="K72" i="12"/>
  <c r="M26" i="10"/>
  <c r="K27" i="10"/>
  <c r="M68" i="10"/>
  <c r="M105" i="10"/>
  <c r="K140" i="10"/>
  <c r="M70" i="5"/>
  <c r="K120" i="5"/>
  <c r="M120" i="17"/>
  <c r="M21" i="18"/>
  <c r="K116" i="18"/>
  <c r="M39" i="6"/>
  <c r="K40" i="6"/>
  <c r="M53" i="9"/>
  <c r="K54" i="9"/>
  <c r="K55" i="9"/>
  <c r="K66" i="9"/>
  <c r="K93" i="9"/>
  <c r="M57" i="13"/>
  <c r="M15" i="5"/>
  <c r="K15" i="5"/>
  <c r="K128" i="5"/>
  <c r="M128" i="5"/>
  <c r="M33" i="14"/>
  <c r="K33" i="14"/>
  <c r="K97" i="14"/>
  <c r="M97" i="14"/>
  <c r="M116" i="7"/>
  <c r="K116" i="7"/>
  <c r="M59" i="4"/>
  <c r="K59" i="4"/>
  <c r="K138" i="17"/>
  <c r="M138" i="17"/>
  <c r="M99" i="18"/>
  <c r="K99" i="18"/>
  <c r="M20" i="6"/>
  <c r="K20" i="6"/>
  <c r="M32" i="6"/>
  <c r="K32" i="6"/>
  <c r="M60" i="6"/>
  <c r="K60" i="6"/>
  <c r="M70" i="6"/>
  <c r="K70" i="6"/>
  <c r="M116" i="9"/>
  <c r="K116" i="9"/>
  <c r="M116" i="8"/>
  <c r="K116" i="8"/>
  <c r="K83" i="15"/>
  <c r="M83" i="15"/>
  <c r="M14" i="13"/>
  <c r="K14" i="13"/>
  <c r="M50" i="13"/>
  <c r="K50" i="13"/>
  <c r="M95" i="5"/>
  <c r="K95" i="5"/>
  <c r="K31" i="14"/>
  <c r="M31" i="14"/>
  <c r="M45" i="14"/>
  <c r="K45" i="14"/>
  <c r="K74" i="7"/>
  <c r="M74" i="7"/>
  <c r="M140" i="7"/>
  <c r="K140" i="7"/>
  <c r="K50" i="4"/>
  <c r="M50" i="4"/>
  <c r="K58" i="4"/>
  <c r="M58" i="4"/>
  <c r="M19" i="17"/>
  <c r="K19" i="17"/>
  <c r="K41" i="18"/>
  <c r="M41" i="18"/>
  <c r="M81" i="18"/>
  <c r="K81" i="18"/>
  <c r="M85" i="18"/>
  <c r="K85" i="18"/>
  <c r="K19" i="6"/>
  <c r="M19" i="6"/>
  <c r="K27" i="6"/>
  <c r="M27" i="6"/>
  <c r="M7" i="9"/>
  <c r="K7" i="9"/>
  <c r="M27" i="9"/>
  <c r="K27" i="9"/>
  <c r="M3" i="8"/>
  <c r="K3" i="8"/>
  <c r="M86" i="8"/>
  <c r="K86" i="8"/>
  <c r="M121" i="15"/>
  <c r="K121" i="15"/>
  <c r="K13" i="13"/>
  <c r="M13" i="13"/>
  <c r="M31" i="13"/>
  <c r="K31" i="13"/>
  <c r="M132" i="13"/>
  <c r="K132" i="13"/>
  <c r="K24" i="3"/>
  <c r="M122" i="3"/>
  <c r="K19" i="2"/>
  <c r="M37" i="2"/>
  <c r="K38" i="2"/>
  <c r="K39" i="2"/>
  <c r="M66" i="2"/>
  <c r="K91" i="2"/>
  <c r="K93" i="2"/>
  <c r="M120" i="2"/>
  <c r="M103" i="12"/>
  <c r="K104" i="12"/>
  <c r="M10" i="10"/>
  <c r="K11" i="10"/>
  <c r="M72" i="10"/>
  <c r="M103" i="10"/>
  <c r="M112" i="10"/>
  <c r="K122" i="10"/>
  <c r="K124" i="10"/>
  <c r="K126" i="10"/>
  <c r="K128" i="10"/>
  <c r="K138" i="10"/>
  <c r="M37" i="5"/>
  <c r="K38" i="5"/>
  <c r="K39" i="5"/>
  <c r="M46" i="5"/>
  <c r="K47" i="5"/>
  <c r="M54" i="5"/>
  <c r="M64" i="5"/>
  <c r="K78" i="5"/>
  <c r="M78" i="5"/>
  <c r="K85" i="5"/>
  <c r="K3" i="14"/>
  <c r="M3" i="14"/>
  <c r="M29" i="14"/>
  <c r="K29" i="14"/>
  <c r="M44" i="14"/>
  <c r="K44" i="14"/>
  <c r="M81" i="14"/>
  <c r="K81" i="14"/>
  <c r="K136" i="14"/>
  <c r="M136" i="14"/>
  <c r="M8" i="7"/>
  <c r="K8" i="7"/>
  <c r="M68" i="7"/>
  <c r="K68" i="7"/>
  <c r="M114" i="7"/>
  <c r="K114" i="7"/>
  <c r="K118" i="7"/>
  <c r="M118" i="7"/>
  <c r="M4" i="4"/>
  <c r="K4" i="4"/>
  <c r="K18" i="4"/>
  <c r="M18" i="4"/>
  <c r="M23" i="4"/>
  <c r="K23" i="4"/>
  <c r="M43" i="4"/>
  <c r="M51" i="4"/>
  <c r="K81" i="4"/>
  <c r="M81" i="4"/>
  <c r="K97" i="4"/>
  <c r="M97" i="4"/>
  <c r="M10" i="17"/>
  <c r="K10" i="17"/>
  <c r="M50" i="17"/>
  <c r="K50" i="17"/>
  <c r="M114" i="17"/>
  <c r="M144" i="17"/>
  <c r="K144" i="17"/>
  <c r="M55" i="18"/>
  <c r="K55" i="18"/>
  <c r="K101" i="18"/>
  <c r="M101" i="18"/>
  <c r="M9" i="6"/>
  <c r="K9" i="6"/>
  <c r="K48" i="6"/>
  <c r="M48" i="6"/>
  <c r="M52" i="6"/>
  <c r="K52" i="6"/>
  <c r="M56" i="6"/>
  <c r="K56" i="6"/>
  <c r="M114" i="9"/>
  <c r="K114" i="9"/>
  <c r="M126" i="9"/>
  <c r="K126" i="9"/>
  <c r="M102" i="8"/>
  <c r="K102" i="8"/>
  <c r="M124" i="8"/>
  <c r="K124" i="8"/>
  <c r="M26" i="13"/>
  <c r="K26" i="13"/>
  <c r="M38" i="13"/>
  <c r="K38" i="13"/>
  <c r="K62" i="13"/>
  <c r="M62" i="13"/>
  <c r="M118" i="13"/>
  <c r="K118" i="13"/>
  <c r="M144" i="5"/>
  <c r="K144" i="5"/>
  <c r="K27" i="14"/>
  <c r="M27" i="14"/>
  <c r="K76" i="14"/>
  <c r="M76" i="14"/>
  <c r="M87" i="14"/>
  <c r="K87" i="14"/>
  <c r="M10" i="7"/>
  <c r="K10" i="7"/>
  <c r="K81" i="7"/>
  <c r="M81" i="7"/>
  <c r="M23" i="17"/>
  <c r="K23" i="17"/>
  <c r="M42" i="18"/>
  <c r="K42" i="18"/>
  <c r="M50" i="18"/>
  <c r="K50" i="18"/>
  <c r="K142" i="18"/>
  <c r="M142" i="18"/>
  <c r="M28" i="6"/>
  <c r="K28" i="6"/>
  <c r="M103" i="9"/>
  <c r="K103" i="9"/>
  <c r="M132" i="8"/>
  <c r="K132" i="8"/>
  <c r="K14" i="5"/>
  <c r="M14" i="5"/>
  <c r="K138" i="5"/>
  <c r="M138" i="5"/>
  <c r="K21" i="14"/>
  <c r="M21" i="14"/>
  <c r="K42" i="4"/>
  <c r="M42" i="4"/>
  <c r="K122" i="4"/>
  <c r="M122" i="4"/>
  <c r="M51" i="17"/>
  <c r="K51" i="17"/>
  <c r="K124" i="17"/>
  <c r="M124" i="17"/>
  <c r="K49" i="18"/>
  <c r="M49" i="18"/>
  <c r="M49" i="6"/>
  <c r="K49" i="6"/>
  <c r="M68" i="6"/>
  <c r="K68" i="6"/>
  <c r="M27" i="8"/>
  <c r="K27" i="8"/>
  <c r="M115" i="8"/>
  <c r="K115" i="8"/>
  <c r="M131" i="8"/>
  <c r="K131" i="8"/>
  <c r="K49" i="13"/>
  <c r="M49" i="13"/>
  <c r="K124" i="13"/>
  <c r="M124" i="13"/>
  <c r="M12" i="3"/>
  <c r="M45" i="3"/>
  <c r="K46" i="3"/>
  <c r="K127" i="3"/>
  <c r="K128" i="3"/>
  <c r="M142" i="3"/>
  <c r="K143" i="3"/>
  <c r="K144" i="3"/>
  <c r="K2" i="2"/>
  <c r="M18" i="2"/>
  <c r="K99" i="2"/>
  <c r="M2" i="3"/>
  <c r="K22" i="3"/>
  <c r="K64" i="3"/>
  <c r="M99" i="3"/>
  <c r="K101" i="3"/>
  <c r="K116" i="3"/>
  <c r="M26" i="2"/>
  <c r="M57" i="2"/>
  <c r="K76" i="2"/>
  <c r="M85" i="2"/>
  <c r="M118" i="2"/>
  <c r="M13" i="12"/>
  <c r="M17" i="12"/>
  <c r="K18" i="12"/>
  <c r="K27" i="12"/>
  <c r="M56" i="12"/>
  <c r="M63" i="12"/>
  <c r="M80" i="12"/>
  <c r="K81" i="12"/>
  <c r="M117" i="12"/>
  <c r="K118" i="12"/>
  <c r="K19" i="10"/>
  <c r="M25" i="10"/>
  <c r="M33" i="10"/>
  <c r="M57" i="10"/>
  <c r="K58" i="10"/>
  <c r="M70" i="10"/>
  <c r="M78" i="10"/>
  <c r="M85" i="10"/>
  <c r="M110" i="10"/>
  <c r="M120" i="10"/>
  <c r="K144" i="10"/>
  <c r="K66" i="5"/>
  <c r="M66" i="5"/>
  <c r="M68" i="5"/>
  <c r="K28" i="14"/>
  <c r="M28" i="14"/>
  <c r="K43" i="14"/>
  <c r="M43" i="14"/>
  <c r="M77" i="14"/>
  <c r="K77" i="14"/>
  <c r="M98" i="14"/>
  <c r="K98" i="14"/>
  <c r="M105" i="14"/>
  <c r="M126" i="14"/>
  <c r="K126" i="14"/>
  <c r="K62" i="7"/>
  <c r="M62" i="7"/>
  <c r="K107" i="7"/>
  <c r="M107" i="7"/>
  <c r="K142" i="7"/>
  <c r="M142" i="7"/>
  <c r="M19" i="4"/>
  <c r="K22" i="4"/>
  <c r="M22" i="4"/>
  <c r="K46" i="4"/>
  <c r="M46" i="4"/>
  <c r="K54" i="4"/>
  <c r="M54" i="4"/>
  <c r="K9" i="17"/>
  <c r="M9" i="17"/>
  <c r="K49" i="17"/>
  <c r="M49" i="17"/>
  <c r="M112" i="17"/>
  <c r="M43" i="18"/>
  <c r="K43" i="18"/>
  <c r="M51" i="18"/>
  <c r="K51" i="18"/>
  <c r="M83" i="18"/>
  <c r="K83" i="18"/>
  <c r="M97" i="18"/>
  <c r="M140" i="18"/>
  <c r="K8" i="6"/>
  <c r="M8" i="6"/>
  <c r="M25" i="6"/>
  <c r="K25" i="6"/>
  <c r="K47" i="6"/>
  <c r="M47" i="6"/>
  <c r="K51" i="6"/>
  <c r="M51" i="6"/>
  <c r="M66" i="6"/>
  <c r="K66" i="6"/>
  <c r="M85" i="6"/>
  <c r="K85" i="6"/>
  <c r="M5" i="8"/>
  <c r="K5" i="8"/>
  <c r="K101" i="8"/>
  <c r="M101" i="8"/>
  <c r="M123" i="8"/>
  <c r="K123" i="8"/>
  <c r="K25" i="13"/>
  <c r="M25" i="13"/>
  <c r="K37" i="13"/>
  <c r="M37" i="13"/>
  <c r="M55" i="13"/>
  <c r="K55" i="13"/>
  <c r="M130" i="13"/>
  <c r="K130" i="13"/>
  <c r="M122" i="7"/>
  <c r="K122" i="7"/>
  <c r="M136" i="7"/>
  <c r="K136" i="7"/>
  <c r="M62" i="4"/>
  <c r="K62" i="4"/>
  <c r="M76" i="4"/>
  <c r="K76" i="4"/>
  <c r="M27" i="17"/>
  <c r="K27" i="17"/>
  <c r="M55" i="17"/>
  <c r="K55" i="17"/>
  <c r="K91" i="17"/>
  <c r="M91" i="17"/>
  <c r="M10" i="18"/>
  <c r="K10" i="18"/>
  <c r="K93" i="18"/>
  <c r="M93" i="18"/>
  <c r="M105" i="18"/>
  <c r="K105" i="18"/>
  <c r="M110" i="18"/>
  <c r="K110" i="18"/>
  <c r="M128" i="6"/>
  <c r="K128" i="6"/>
  <c r="K33" i="9"/>
  <c r="M33" i="9"/>
  <c r="M66" i="8"/>
  <c r="K66" i="8"/>
  <c r="K10" i="15"/>
  <c r="M10" i="15"/>
  <c r="K58" i="15"/>
  <c r="M58" i="15"/>
  <c r="M129" i="15"/>
  <c r="K129" i="15"/>
  <c r="K10" i="13"/>
  <c r="M10" i="13"/>
  <c r="M93" i="13"/>
  <c r="K93" i="13"/>
  <c r="K66" i="7"/>
  <c r="M66" i="7"/>
  <c r="K78" i="7"/>
  <c r="M78" i="7"/>
  <c r="M26" i="17"/>
  <c r="K26" i="17"/>
  <c r="M58" i="17"/>
  <c r="K58" i="17"/>
  <c r="M103" i="17"/>
  <c r="K103" i="17"/>
  <c r="K126" i="17"/>
  <c r="M126" i="17"/>
  <c r="K9" i="18"/>
  <c r="M9" i="18"/>
  <c r="M36" i="6"/>
  <c r="K36" i="6"/>
  <c r="M91" i="6"/>
  <c r="K91" i="6"/>
  <c r="M54" i="8"/>
  <c r="K54" i="8"/>
  <c r="K65" i="8"/>
  <c r="M65" i="8"/>
  <c r="K9" i="15"/>
  <c r="M9" i="15"/>
  <c r="K13" i="15"/>
  <c r="M13" i="15"/>
  <c r="K21" i="15"/>
  <c r="M21" i="15"/>
  <c r="K57" i="15"/>
  <c r="M57" i="15"/>
  <c r="M70" i="13"/>
  <c r="K70" i="13"/>
  <c r="K6" i="3"/>
  <c r="M20" i="3"/>
  <c r="M28" i="3"/>
  <c r="M56" i="3"/>
  <c r="K81" i="3"/>
  <c r="K83" i="3"/>
  <c r="K85" i="3"/>
  <c r="K120" i="3"/>
  <c r="M138" i="3"/>
  <c r="K139" i="3"/>
  <c r="K140" i="3"/>
  <c r="M34" i="2"/>
  <c r="K35" i="2"/>
  <c r="M50" i="2"/>
  <c r="K51" i="2"/>
  <c r="M72" i="2"/>
  <c r="M97" i="2"/>
  <c r="K107" i="2"/>
  <c r="K110" i="2"/>
  <c r="K116" i="2"/>
  <c r="M123" i="2"/>
  <c r="K124" i="2"/>
  <c r="M126" i="2"/>
  <c r="M6" i="12"/>
  <c r="K7" i="12"/>
  <c r="M21" i="12"/>
  <c r="K22" i="12"/>
  <c r="M87" i="12"/>
  <c r="K88" i="12"/>
  <c r="M91" i="12"/>
  <c r="K92" i="12"/>
  <c r="M95" i="12"/>
  <c r="K96" i="12"/>
  <c r="M99" i="12"/>
  <c r="K100" i="12"/>
  <c r="K113" i="12"/>
  <c r="K126" i="12"/>
  <c r="M140" i="12"/>
  <c r="K141" i="12"/>
  <c r="M45" i="10"/>
  <c r="K46" i="10"/>
  <c r="K47" i="10"/>
  <c r="M53" i="10"/>
  <c r="K54" i="10"/>
  <c r="K55" i="10"/>
  <c r="K59" i="10"/>
  <c r="K66" i="10"/>
  <c r="K89" i="10"/>
  <c r="K91" i="10"/>
  <c r="K93" i="10"/>
  <c r="K95" i="10"/>
  <c r="M136" i="10"/>
  <c r="K31" i="5"/>
  <c r="M83" i="5"/>
  <c r="K101" i="5"/>
  <c r="K103" i="5"/>
  <c r="M105" i="5"/>
  <c r="M116" i="5"/>
  <c r="M122" i="5"/>
  <c r="M11" i="14"/>
  <c r="M12" i="14"/>
  <c r="K13" i="14"/>
  <c r="K41" i="14"/>
  <c r="K49" i="14"/>
  <c r="K68" i="14"/>
  <c r="K110" i="14"/>
  <c r="K142" i="14"/>
  <c r="M2" i="7"/>
  <c r="K12" i="7"/>
  <c r="M12" i="7"/>
  <c r="M14" i="7"/>
  <c r="M34" i="7"/>
  <c r="K44" i="7"/>
  <c r="K46" i="7"/>
  <c r="K48" i="7"/>
  <c r="K50" i="7"/>
  <c r="M56" i="7"/>
  <c r="M124" i="7"/>
  <c r="K124" i="7"/>
  <c r="M11" i="4"/>
  <c r="K14" i="4"/>
  <c r="M14" i="4"/>
  <c r="M32" i="4"/>
  <c r="K32" i="4"/>
  <c r="M36" i="4"/>
  <c r="K36" i="4"/>
  <c r="K70" i="4"/>
  <c r="M70" i="4"/>
  <c r="M74" i="4"/>
  <c r="K74" i="4"/>
  <c r="M126" i="4"/>
  <c r="M2" i="17"/>
  <c r="K2" i="17"/>
  <c r="K29" i="17"/>
  <c r="M29" i="17"/>
  <c r="M46" i="17"/>
  <c r="K46" i="17"/>
  <c r="K53" i="17"/>
  <c r="M53" i="17"/>
  <c r="K57" i="17"/>
  <c r="M57" i="17"/>
  <c r="M78" i="17"/>
  <c r="K93" i="17"/>
  <c r="M93" i="17"/>
  <c r="M136" i="17"/>
  <c r="K140" i="17"/>
  <c r="M140" i="17"/>
  <c r="M23" i="18"/>
  <c r="K23" i="18"/>
  <c r="K29" i="18"/>
  <c r="M29" i="18"/>
  <c r="M39" i="18"/>
  <c r="K39" i="18"/>
  <c r="M87" i="18"/>
  <c r="K87" i="18"/>
  <c r="K95" i="18"/>
  <c r="M95" i="18"/>
  <c r="K103" i="18"/>
  <c r="M103" i="18"/>
  <c r="M107" i="18"/>
  <c r="K107" i="18"/>
  <c r="M112" i="18"/>
  <c r="K112" i="18"/>
  <c r="M17" i="6"/>
  <c r="K17" i="6"/>
  <c r="M45" i="6"/>
  <c r="K45" i="6"/>
  <c r="K83" i="6"/>
  <c r="M83" i="6"/>
  <c r="M72" i="4"/>
  <c r="K72" i="4"/>
  <c r="M59" i="17"/>
  <c r="K59" i="17"/>
  <c r="K142" i="17"/>
  <c r="M142" i="17"/>
  <c r="K6" i="18"/>
  <c r="M6" i="18"/>
  <c r="M18" i="18"/>
  <c r="K18" i="18"/>
  <c r="K89" i="18"/>
  <c r="M89" i="18"/>
  <c r="M37" i="6"/>
  <c r="K37" i="6"/>
  <c r="K81" i="6"/>
  <c r="M81" i="6"/>
  <c r="K110" i="6"/>
  <c r="M110" i="6"/>
  <c r="K132" i="6"/>
  <c r="M132" i="6"/>
  <c r="K18" i="9"/>
  <c r="M18" i="9"/>
  <c r="K29" i="9"/>
  <c r="M29" i="9"/>
  <c r="K41" i="9"/>
  <c r="M41" i="9"/>
  <c r="M110" i="9"/>
  <c r="K110" i="9"/>
  <c r="K23" i="8"/>
  <c r="M23" i="8"/>
  <c r="K2" i="15"/>
  <c r="M2" i="15"/>
  <c r="K14" i="15"/>
  <c r="M14" i="15"/>
  <c r="K22" i="15"/>
  <c r="M22" i="15"/>
  <c r="K31" i="15"/>
  <c r="M31" i="15"/>
  <c r="M108" i="15"/>
  <c r="K108" i="15"/>
  <c r="K2" i="13"/>
  <c r="M2" i="13"/>
  <c r="K45" i="13"/>
  <c r="M45" i="13"/>
  <c r="K85" i="13"/>
  <c r="M85" i="13"/>
  <c r="M101" i="13"/>
  <c r="K101" i="13"/>
  <c r="M144" i="14"/>
  <c r="K144" i="14"/>
  <c r="K10" i="4"/>
  <c r="M10" i="4"/>
  <c r="M15" i="4"/>
  <c r="K15" i="4"/>
  <c r="M130" i="4"/>
  <c r="K130" i="4"/>
  <c r="M30" i="17"/>
  <c r="K30" i="17"/>
  <c r="M54" i="17"/>
  <c r="K54" i="17"/>
  <c r="K107" i="17"/>
  <c r="M107" i="17"/>
  <c r="M130" i="17"/>
  <c r="K130" i="17"/>
  <c r="K17" i="18"/>
  <c r="M17" i="18"/>
  <c r="M47" i="18"/>
  <c r="K47" i="18"/>
  <c r="M70" i="18"/>
  <c r="K70" i="18"/>
  <c r="K118" i="18"/>
  <c r="M118" i="18"/>
  <c r="K95" i="6"/>
  <c r="M95" i="6"/>
  <c r="M23" i="9"/>
  <c r="K23" i="9"/>
  <c r="M144" i="8"/>
  <c r="K144" i="8"/>
  <c r="K4" i="3"/>
  <c r="K18" i="3"/>
  <c r="M26" i="3"/>
  <c r="M40" i="3"/>
  <c r="K41" i="3"/>
  <c r="M48" i="3"/>
  <c r="K49" i="3"/>
  <c r="K66" i="3"/>
  <c r="M118" i="3"/>
  <c r="K136" i="3"/>
  <c r="M13" i="2"/>
  <c r="K14" i="2"/>
  <c r="K15" i="2"/>
  <c r="M25" i="2"/>
  <c r="M70" i="2"/>
  <c r="M87" i="2"/>
  <c r="M130" i="2"/>
  <c r="M131" i="2"/>
  <c r="K132" i="2"/>
  <c r="M142" i="2"/>
  <c r="M143" i="2"/>
  <c r="K23" i="12"/>
  <c r="M29" i="12"/>
  <c r="K30" i="12"/>
  <c r="K31" i="12"/>
  <c r="K50" i="12"/>
  <c r="K60" i="12"/>
  <c r="M66" i="12"/>
  <c r="M75" i="12"/>
  <c r="K76" i="12"/>
  <c r="M84" i="12"/>
  <c r="K85" i="12"/>
  <c r="K89" i="12"/>
  <c r="K93" i="12"/>
  <c r="K97" i="12"/>
  <c r="M5" i="10"/>
  <c r="K6" i="10"/>
  <c r="M13" i="10"/>
  <c r="K14" i="10"/>
  <c r="K15" i="10"/>
  <c r="M42" i="10"/>
  <c r="K43" i="10"/>
  <c r="K51" i="10"/>
  <c r="M87" i="10"/>
  <c r="M5" i="5"/>
  <c r="K6" i="5"/>
  <c r="K7" i="5"/>
  <c r="M22" i="5"/>
  <c r="M41" i="5"/>
  <c r="M45" i="5"/>
  <c r="M49" i="5"/>
  <c r="M53" i="5"/>
  <c r="M81" i="5"/>
  <c r="M99" i="5"/>
  <c r="M19" i="14"/>
  <c r="M20" i="14"/>
  <c r="K57" i="14"/>
  <c r="K74" i="14"/>
  <c r="M75" i="14"/>
  <c r="K89" i="14"/>
  <c r="K90" i="14"/>
  <c r="K114" i="14"/>
  <c r="K140" i="14"/>
  <c r="K4" i="7"/>
  <c r="M4" i="7"/>
  <c r="M32" i="7"/>
  <c r="K101" i="7"/>
  <c r="M101" i="7"/>
  <c r="M134" i="7"/>
  <c r="K6" i="4"/>
  <c r="M6" i="4"/>
  <c r="K31" i="4"/>
  <c r="M31" i="4"/>
  <c r="M124" i="4"/>
  <c r="M128" i="4"/>
  <c r="K128" i="4"/>
  <c r="M132" i="4"/>
  <c r="K132" i="4"/>
  <c r="M144" i="4"/>
  <c r="K144" i="4"/>
  <c r="K45" i="17"/>
  <c r="M45" i="17"/>
  <c r="M89" i="17"/>
  <c r="M105" i="17"/>
  <c r="K105" i="17"/>
  <c r="M128" i="17"/>
  <c r="K128" i="17"/>
  <c r="M7" i="18"/>
  <c r="K7" i="18"/>
  <c r="M11" i="18"/>
  <c r="K11" i="18"/>
  <c r="M15" i="18"/>
  <c r="K15" i="18"/>
  <c r="M19" i="18"/>
  <c r="K19" i="18"/>
  <c r="M30" i="18"/>
  <c r="K38" i="18"/>
  <c r="M38" i="18"/>
  <c r="K72" i="18"/>
  <c r="M72" i="18"/>
  <c r="K76" i="18"/>
  <c r="M76" i="18"/>
  <c r="K120" i="18"/>
  <c r="M120" i="18"/>
  <c r="M44" i="6"/>
  <c r="K44" i="6"/>
  <c r="M78" i="6"/>
  <c r="M93" i="6"/>
  <c r="K93" i="6"/>
  <c r="M126" i="6"/>
  <c r="K126" i="6"/>
  <c r="M130" i="6"/>
  <c r="K130" i="6"/>
  <c r="M22" i="9"/>
  <c r="K22" i="9"/>
  <c r="M31" i="9"/>
  <c r="K31" i="9"/>
  <c r="M35" i="9"/>
  <c r="K35" i="9"/>
  <c r="M43" i="9"/>
  <c r="K43" i="9"/>
  <c r="M76" i="9"/>
  <c r="K76" i="9"/>
  <c r="M9" i="8"/>
  <c r="K9" i="8"/>
  <c r="K53" i="8"/>
  <c r="M53" i="8"/>
  <c r="M143" i="8"/>
  <c r="K143" i="8"/>
  <c r="K54" i="15"/>
  <c r="M54" i="15"/>
  <c r="M69" i="15"/>
  <c r="K69" i="15"/>
  <c r="K119" i="15"/>
  <c r="M119" i="15"/>
  <c r="K131" i="15"/>
  <c r="M131" i="15"/>
  <c r="M78" i="13"/>
  <c r="K78" i="13"/>
  <c r="M91" i="13"/>
  <c r="K91" i="13"/>
  <c r="M99" i="13"/>
  <c r="K99" i="13"/>
  <c r="M107" i="13"/>
  <c r="K107" i="13"/>
  <c r="M3" i="9"/>
  <c r="K3" i="9"/>
  <c r="K9" i="9"/>
  <c r="M9" i="9"/>
  <c r="M19" i="9"/>
  <c r="K19" i="9"/>
  <c r="K21" i="9"/>
  <c r="M21" i="9"/>
  <c r="M30" i="9"/>
  <c r="K30" i="9"/>
  <c r="M34" i="9"/>
  <c r="K34" i="9"/>
  <c r="M42" i="9"/>
  <c r="K42" i="9"/>
  <c r="M70" i="9"/>
  <c r="K70" i="9"/>
  <c r="K29" i="8"/>
  <c r="M29" i="8"/>
  <c r="M67" i="8"/>
  <c r="K67" i="8"/>
  <c r="M3" i="15"/>
  <c r="K3" i="15"/>
  <c r="M11" i="15"/>
  <c r="K11" i="15"/>
  <c r="M15" i="15"/>
  <c r="K15" i="15"/>
  <c r="M23" i="15"/>
  <c r="K23" i="15"/>
  <c r="K53" i="15"/>
  <c r="M53" i="15"/>
  <c r="M59" i="15"/>
  <c r="K59" i="15"/>
  <c r="M3" i="13"/>
  <c r="K3" i="13"/>
  <c r="M11" i="13"/>
  <c r="K11" i="13"/>
  <c r="M46" i="13"/>
  <c r="K46" i="13"/>
  <c r="M72" i="13"/>
  <c r="K72" i="13"/>
  <c r="K134" i="13"/>
  <c r="M134" i="13"/>
  <c r="K87" i="9"/>
  <c r="K97" i="9"/>
  <c r="K99" i="9"/>
  <c r="K120" i="9"/>
  <c r="K130" i="9"/>
  <c r="K132" i="9"/>
  <c r="K11" i="8"/>
  <c r="K13" i="8"/>
  <c r="K19" i="8"/>
  <c r="K31" i="8"/>
  <c r="K37" i="8"/>
  <c r="K39" i="8"/>
  <c r="M41" i="8"/>
  <c r="K42" i="8"/>
  <c r="M56" i="8"/>
  <c r="M57" i="8"/>
  <c r="K58" i="8"/>
  <c r="M69" i="8"/>
  <c r="K70" i="8"/>
  <c r="K84" i="8"/>
  <c r="K87" i="8"/>
  <c r="M93" i="8"/>
  <c r="K94" i="8"/>
  <c r="K99" i="8"/>
  <c r="K103" i="8"/>
  <c r="K107" i="8"/>
  <c r="M27" i="15"/>
  <c r="M33" i="15"/>
  <c r="M34" i="15"/>
  <c r="K35" i="15"/>
  <c r="M41" i="15"/>
  <c r="M42" i="15"/>
  <c r="K43" i="15"/>
  <c r="M45" i="15"/>
  <c r="M46" i="15"/>
  <c r="K47" i="15"/>
  <c r="K71" i="15"/>
  <c r="M77" i="15"/>
  <c r="M78" i="15"/>
  <c r="K80" i="15"/>
  <c r="M95" i="15"/>
  <c r="K96" i="15"/>
  <c r="M115" i="15"/>
  <c r="K133" i="15"/>
  <c r="M139" i="15"/>
  <c r="M140" i="15"/>
  <c r="K141" i="15"/>
  <c r="M5" i="13"/>
  <c r="K6" i="13"/>
  <c r="M34" i="13"/>
  <c r="K35" i="13"/>
  <c r="K66" i="13"/>
  <c r="K81" i="13"/>
  <c r="K87" i="13"/>
  <c r="K110" i="13"/>
  <c r="K116" i="13"/>
  <c r="K136" i="13"/>
  <c r="K144" i="13"/>
  <c r="M107" i="15"/>
  <c r="M127" i="15"/>
  <c r="M17" i="13"/>
  <c r="K18" i="13"/>
  <c r="M42" i="13"/>
  <c r="K43" i="13"/>
  <c r="J123" i="2"/>
  <c r="L19" i="12"/>
  <c r="J23" i="12"/>
  <c r="J51" i="10"/>
  <c r="J59" i="10"/>
  <c r="L84" i="5"/>
  <c r="J102" i="14"/>
  <c r="J139" i="14"/>
  <c r="J86" i="7"/>
  <c r="J115" i="17"/>
  <c r="J24" i="6"/>
  <c r="L26" i="6"/>
  <c r="J28" i="6"/>
  <c r="J36" i="6"/>
  <c r="J113" i="6"/>
  <c r="J23" i="9"/>
  <c r="J104" i="9"/>
  <c r="J26" i="8"/>
  <c r="J32" i="8"/>
  <c r="J89" i="15"/>
  <c r="J95" i="15"/>
  <c r="J100" i="15"/>
  <c r="J105" i="15"/>
  <c r="L82" i="2"/>
  <c r="L15" i="12"/>
  <c r="L39" i="12"/>
  <c r="L43" i="12"/>
  <c r="L129" i="10"/>
  <c r="L80" i="5"/>
  <c r="J51" i="18"/>
  <c r="J44" i="6"/>
  <c r="J86" i="6"/>
  <c r="J131" i="6"/>
  <c r="J67" i="9"/>
  <c r="J67" i="15"/>
  <c r="J87" i="15"/>
  <c r="J91" i="15"/>
  <c r="J93" i="15"/>
  <c r="J98" i="13"/>
  <c r="L3" i="3"/>
  <c r="L100" i="10"/>
  <c r="L43" i="7"/>
  <c r="L121" i="7"/>
  <c r="L111" i="4"/>
  <c r="L15" i="17"/>
  <c r="J82" i="17"/>
  <c r="L131" i="18"/>
  <c r="J32" i="6"/>
  <c r="L66" i="6"/>
  <c r="L70" i="6"/>
  <c r="L80" i="6"/>
  <c r="L98" i="6"/>
  <c r="J133" i="6"/>
  <c r="L35" i="9"/>
  <c r="L61" i="15"/>
  <c r="J75" i="15"/>
  <c r="J76" i="15"/>
  <c r="J80" i="15"/>
  <c r="L102" i="2"/>
  <c r="L31" i="12"/>
  <c r="J23" i="10"/>
  <c r="L113" i="10"/>
  <c r="L137" i="10"/>
  <c r="J100" i="5"/>
  <c r="L10" i="14"/>
  <c r="J12" i="14"/>
  <c r="J45" i="14"/>
  <c r="L96" i="14"/>
  <c r="J135" i="14"/>
  <c r="L19" i="7"/>
  <c r="J29" i="7"/>
  <c r="J31" i="7"/>
  <c r="L73" i="7"/>
  <c r="L47" i="17"/>
  <c r="L48" i="17"/>
  <c r="J50" i="17"/>
  <c r="J55" i="17"/>
  <c r="L11" i="18"/>
  <c r="L35" i="18"/>
  <c r="L108" i="18"/>
  <c r="L143" i="6"/>
  <c r="J15" i="9"/>
  <c r="J31" i="9"/>
  <c r="J55" i="9"/>
  <c r="J80" i="9"/>
  <c r="J100" i="9"/>
  <c r="J133" i="9"/>
  <c r="J22" i="8"/>
  <c r="L40" i="8"/>
  <c r="L59" i="8"/>
  <c r="L83" i="8"/>
  <c r="J86" i="13"/>
  <c r="J115" i="13"/>
  <c r="J133" i="5"/>
  <c r="L57" i="14"/>
  <c r="J90" i="14"/>
  <c r="L92" i="14"/>
  <c r="J9" i="7"/>
  <c r="L11" i="7"/>
  <c r="L39" i="7"/>
  <c r="J71" i="7"/>
  <c r="L113" i="9"/>
  <c r="L2" i="8"/>
  <c r="L71" i="8"/>
  <c r="L72" i="8"/>
  <c r="L84" i="8"/>
  <c r="L88" i="8"/>
  <c r="L89" i="8"/>
  <c r="J90" i="8"/>
  <c r="L92" i="8"/>
  <c r="J94" i="8"/>
  <c r="L117" i="8"/>
  <c r="L120" i="8"/>
  <c r="L121" i="8"/>
  <c r="L128" i="8"/>
  <c r="L129" i="8"/>
  <c r="J16" i="15"/>
  <c r="J36" i="15"/>
  <c r="L118" i="15"/>
  <c r="J120" i="15"/>
  <c r="J121" i="15"/>
  <c r="J125" i="15"/>
  <c r="J31" i="18"/>
  <c r="L125" i="5"/>
  <c r="J125" i="5"/>
  <c r="L111" i="14"/>
  <c r="J111" i="14"/>
  <c r="J94" i="7"/>
  <c r="L94" i="7"/>
  <c r="J19" i="18"/>
  <c r="L19" i="18"/>
  <c r="J54" i="6"/>
  <c r="L54" i="6"/>
  <c r="L139" i="6"/>
  <c r="J139" i="6"/>
  <c r="L38" i="8"/>
  <c r="J38" i="8"/>
  <c r="L108" i="15"/>
  <c r="J108" i="15"/>
  <c r="L71" i="3"/>
  <c r="L132" i="3"/>
  <c r="J90" i="2"/>
  <c r="J68" i="12"/>
  <c r="J27" i="10"/>
  <c r="L27" i="10"/>
  <c r="J141" i="10"/>
  <c r="L141" i="10"/>
  <c r="L69" i="14"/>
  <c r="J69" i="14"/>
  <c r="L90" i="17"/>
  <c r="J90" i="17"/>
  <c r="J15" i="18"/>
  <c r="L15" i="18"/>
  <c r="J75" i="18"/>
  <c r="L75" i="18"/>
  <c r="L17" i="6"/>
  <c r="J17" i="6"/>
  <c r="J30" i="6"/>
  <c r="L30" i="6"/>
  <c r="L40" i="6"/>
  <c r="J40" i="6"/>
  <c r="L52" i="6"/>
  <c r="J52" i="6"/>
  <c r="J94" i="6"/>
  <c r="L94" i="6"/>
  <c r="L27" i="9"/>
  <c r="J27" i="9"/>
  <c r="L42" i="15"/>
  <c r="J42" i="15"/>
  <c r="L144" i="15"/>
  <c r="J144" i="15"/>
  <c r="L26" i="13"/>
  <c r="J26" i="13"/>
  <c r="J31" i="13"/>
  <c r="L31" i="13"/>
  <c r="L42" i="13"/>
  <c r="J42" i="13"/>
  <c r="L69" i="13"/>
  <c r="J69" i="13"/>
  <c r="L11" i="3"/>
  <c r="L63" i="3"/>
  <c r="J111" i="2"/>
  <c r="L47" i="12"/>
  <c r="J114" i="12"/>
  <c r="J15" i="10"/>
  <c r="L15" i="10"/>
  <c r="J125" i="10"/>
  <c r="L125" i="10"/>
  <c r="J62" i="14"/>
  <c r="L62" i="14"/>
  <c r="L42" i="17"/>
  <c r="J42" i="17"/>
  <c r="J39" i="18"/>
  <c r="L39" i="18"/>
  <c r="J100" i="18"/>
  <c r="L100" i="18"/>
  <c r="L5" i="6"/>
  <c r="J5" i="6"/>
  <c r="L29" i="6"/>
  <c r="J29" i="6"/>
  <c r="J38" i="6"/>
  <c r="L38" i="6"/>
  <c r="J50" i="6"/>
  <c r="L50" i="6"/>
  <c r="L61" i="6"/>
  <c r="J61" i="6"/>
  <c r="L59" i="9"/>
  <c r="J59" i="9"/>
  <c r="L20" i="15"/>
  <c r="J20" i="15"/>
  <c r="J40" i="15"/>
  <c r="L40" i="15"/>
  <c r="L126" i="15"/>
  <c r="J126" i="15"/>
  <c r="J24" i="13"/>
  <c r="L24" i="13"/>
  <c r="L30" i="13"/>
  <c r="J30" i="13"/>
  <c r="J123" i="12"/>
  <c r="L123" i="12"/>
  <c r="J59" i="17"/>
  <c r="L59" i="17"/>
  <c r="L139" i="18"/>
  <c r="J139" i="18"/>
  <c r="L20" i="6"/>
  <c r="J20" i="6"/>
  <c r="L33" i="6"/>
  <c r="J33" i="6"/>
  <c r="J42" i="6"/>
  <c r="L42" i="6"/>
  <c r="L111" i="8"/>
  <c r="J111" i="8"/>
  <c r="L134" i="15"/>
  <c r="J134" i="15"/>
  <c r="L2" i="13"/>
  <c r="J2" i="13"/>
  <c r="L133" i="3"/>
  <c r="J135" i="3"/>
  <c r="L47" i="2"/>
  <c r="L35" i="12"/>
  <c r="L27" i="7"/>
  <c r="J27" i="7"/>
  <c r="L117" i="7"/>
  <c r="J117" i="7"/>
  <c r="J86" i="4"/>
  <c r="L86" i="4"/>
  <c r="J27" i="17"/>
  <c r="L27" i="17"/>
  <c r="L123" i="17"/>
  <c r="J123" i="17"/>
  <c r="L43" i="18"/>
  <c r="J43" i="18"/>
  <c r="L11" i="2"/>
  <c r="L15" i="2"/>
  <c r="L27" i="12"/>
  <c r="J138" i="12"/>
  <c r="L138" i="12"/>
  <c r="L43" i="10"/>
  <c r="J43" i="10"/>
  <c r="L71" i="5"/>
  <c r="J71" i="5"/>
  <c r="L92" i="5"/>
  <c r="J92" i="5"/>
  <c r="L60" i="14"/>
  <c r="J60" i="14"/>
  <c r="J82" i="14"/>
  <c r="L82" i="14"/>
  <c r="L111" i="7"/>
  <c r="J111" i="7"/>
  <c r="L137" i="4"/>
  <c r="J137" i="4"/>
  <c r="J40" i="17"/>
  <c r="L40" i="17"/>
  <c r="L61" i="17"/>
  <c r="J61" i="17"/>
  <c r="L94" i="17"/>
  <c r="J94" i="17"/>
  <c r="L127" i="17"/>
  <c r="J127" i="17"/>
  <c r="L98" i="18"/>
  <c r="J98" i="18"/>
  <c r="J22" i="6"/>
  <c r="L22" i="6"/>
  <c r="J34" i="6"/>
  <c r="L34" i="6"/>
  <c r="L45" i="6"/>
  <c r="J45" i="6"/>
  <c r="J58" i="6"/>
  <c r="L58" i="6"/>
  <c r="L7" i="9"/>
  <c r="J7" i="9"/>
  <c r="L92" i="9"/>
  <c r="J92" i="9"/>
  <c r="L125" i="9"/>
  <c r="J125" i="9"/>
  <c r="L14" i="8"/>
  <c r="J14" i="8"/>
  <c r="L34" i="13"/>
  <c r="J34" i="13"/>
  <c r="L90" i="13"/>
  <c r="J90" i="13"/>
  <c r="L39" i="17"/>
  <c r="L47" i="18"/>
  <c r="L43" i="9"/>
  <c r="L135" i="4"/>
  <c r="L92" i="18"/>
  <c r="L133" i="18"/>
  <c r="J98" i="8"/>
  <c r="J143" i="8"/>
  <c r="J32" i="15"/>
  <c r="J38" i="15"/>
  <c r="J141" i="15"/>
  <c r="J10" i="13"/>
  <c r="L15" i="13"/>
  <c r="L16" i="13"/>
  <c r="J18" i="13"/>
  <c r="L20" i="13"/>
  <c r="L27" i="13"/>
  <c r="L28" i="13"/>
  <c r="L32" i="13"/>
  <c r="L36" i="13"/>
  <c r="J65" i="13"/>
  <c r="L35" i="10"/>
  <c r="L63" i="10"/>
  <c r="L80" i="10"/>
  <c r="L88" i="10"/>
  <c r="L117" i="10"/>
  <c r="J23" i="5"/>
  <c r="L2" i="14"/>
  <c r="J4" i="14"/>
  <c r="J9" i="14"/>
  <c r="J40" i="14"/>
  <c r="J94" i="14"/>
  <c r="L119" i="14"/>
  <c r="J7" i="7"/>
  <c r="J17" i="7"/>
  <c r="L51" i="7"/>
  <c r="L65" i="7"/>
  <c r="J67" i="7"/>
  <c r="J82" i="7"/>
  <c r="J56" i="4"/>
  <c r="L65" i="4"/>
  <c r="L107" i="8"/>
  <c r="L43" i="13"/>
  <c r="L4" i="4"/>
  <c r="J4" i="4"/>
  <c r="L104" i="4"/>
  <c r="J104" i="4"/>
  <c r="L10" i="17"/>
  <c r="J10" i="17"/>
  <c r="L46" i="17"/>
  <c r="J46" i="17"/>
  <c r="L98" i="17"/>
  <c r="J98" i="17"/>
  <c r="L131" i="17"/>
  <c r="J131" i="17"/>
  <c r="L143" i="17"/>
  <c r="J143" i="17"/>
  <c r="J71" i="18"/>
  <c r="L71" i="18"/>
  <c r="L100" i="6"/>
  <c r="J100" i="6"/>
  <c r="L121" i="6"/>
  <c r="J121" i="6"/>
  <c r="L39" i="9"/>
  <c r="J39" i="9"/>
  <c r="L75" i="9"/>
  <c r="J75" i="9"/>
  <c r="L88" i="9"/>
  <c r="J88" i="9"/>
  <c r="L108" i="9"/>
  <c r="J108" i="9"/>
  <c r="L121" i="9"/>
  <c r="J121" i="9"/>
  <c r="L10" i="8"/>
  <c r="J10" i="8"/>
  <c r="L36" i="8"/>
  <c r="J36" i="8"/>
  <c r="J67" i="8"/>
  <c r="L67" i="8"/>
  <c r="L122" i="15"/>
  <c r="J122" i="15"/>
  <c r="L54" i="13"/>
  <c r="J54" i="13"/>
  <c r="L82" i="13"/>
  <c r="J82" i="13"/>
  <c r="L106" i="13"/>
  <c r="J106" i="13"/>
  <c r="J38" i="3"/>
  <c r="J46" i="3"/>
  <c r="J86" i="2"/>
  <c r="J98" i="2"/>
  <c r="L121" i="2"/>
  <c r="J133" i="2"/>
  <c r="J88" i="18"/>
  <c r="L88" i="18"/>
  <c r="L137" i="18"/>
  <c r="L110" i="15"/>
  <c r="J110" i="15"/>
  <c r="L114" i="15"/>
  <c r="J114" i="15"/>
  <c r="J25" i="3"/>
  <c r="J29" i="3"/>
  <c r="J33" i="3"/>
  <c r="J34" i="3"/>
  <c r="J50" i="3"/>
  <c r="J127" i="3"/>
  <c r="J61" i="2"/>
  <c r="J69" i="2"/>
  <c r="J73" i="2"/>
  <c r="J94" i="2"/>
  <c r="J106" i="2"/>
  <c r="L117" i="2"/>
  <c r="L125" i="2"/>
  <c r="J127" i="2"/>
  <c r="J128" i="2"/>
  <c r="J139" i="2"/>
  <c r="L141" i="2"/>
  <c r="J143" i="2"/>
  <c r="J50" i="12"/>
  <c r="L54" i="12"/>
  <c r="L64" i="12"/>
  <c r="L65" i="12"/>
  <c r="L66" i="12"/>
  <c r="J101" i="12"/>
  <c r="J117" i="12"/>
  <c r="J125" i="12"/>
  <c r="L134" i="12"/>
  <c r="L135" i="12"/>
  <c r="J7" i="10"/>
  <c r="L31" i="10"/>
  <c r="L39" i="10"/>
  <c r="L67" i="10"/>
  <c r="L75" i="10"/>
  <c r="L96" i="10"/>
  <c r="L108" i="10"/>
  <c r="L121" i="10"/>
  <c r="J7" i="5"/>
  <c r="J55" i="5"/>
  <c r="L63" i="5"/>
  <c r="L67" i="5"/>
  <c r="L75" i="5"/>
  <c r="L88" i="5"/>
  <c r="L96" i="5"/>
  <c r="J104" i="5"/>
  <c r="L108" i="5"/>
  <c r="J117" i="5"/>
  <c r="L129" i="5"/>
  <c r="J137" i="5"/>
  <c r="L141" i="5"/>
  <c r="J14" i="14"/>
  <c r="L18" i="14"/>
  <c r="L26" i="14"/>
  <c r="J28" i="14"/>
  <c r="J49" i="14"/>
  <c r="J73" i="14"/>
  <c r="L73" i="14"/>
  <c r="L106" i="14"/>
  <c r="J115" i="14"/>
  <c r="J123" i="14"/>
  <c r="L131" i="14"/>
  <c r="J15" i="7"/>
  <c r="L15" i="7"/>
  <c r="L61" i="7"/>
  <c r="J90" i="7"/>
  <c r="L98" i="7"/>
  <c r="L102" i="7"/>
  <c r="L104" i="7"/>
  <c r="J104" i="7"/>
  <c r="J123" i="7"/>
  <c r="L125" i="7"/>
  <c r="J125" i="7"/>
  <c r="J24" i="4"/>
  <c r="L28" i="4"/>
  <c r="J28" i="4"/>
  <c r="L71" i="4"/>
  <c r="J71" i="4"/>
  <c r="J88" i="4"/>
  <c r="L94" i="4"/>
  <c r="L96" i="4"/>
  <c r="J96" i="4"/>
  <c r="L3" i="17"/>
  <c r="J7" i="17"/>
  <c r="L7" i="17"/>
  <c r="L35" i="17"/>
  <c r="J43" i="17"/>
  <c r="J51" i="17"/>
  <c r="L58" i="17"/>
  <c r="J58" i="17"/>
  <c r="L73" i="17"/>
  <c r="J73" i="17"/>
  <c r="L86" i="17"/>
  <c r="J86" i="17"/>
  <c r="L106" i="17"/>
  <c r="J106" i="17"/>
  <c r="L119" i="17"/>
  <c r="J119" i="17"/>
  <c r="L139" i="17"/>
  <c r="J139" i="17"/>
  <c r="L65" i="18"/>
  <c r="J65" i="18"/>
  <c r="L113" i="18"/>
  <c r="L71" i="6"/>
  <c r="L75" i="6"/>
  <c r="J75" i="6"/>
  <c r="J111" i="6"/>
  <c r="L115" i="6"/>
  <c r="L117" i="6"/>
  <c r="J117" i="6"/>
  <c r="J127" i="6"/>
  <c r="J35" i="7"/>
  <c r="L35" i="7"/>
  <c r="L131" i="7"/>
  <c r="J131" i="7"/>
  <c r="L141" i="4"/>
  <c r="J141" i="4"/>
  <c r="L65" i="17"/>
  <c r="J65" i="17"/>
  <c r="L77" i="17"/>
  <c r="J77" i="17"/>
  <c r="L111" i="17"/>
  <c r="J111" i="17"/>
  <c r="J46" i="6"/>
  <c r="L46" i="6"/>
  <c r="J90" i="6"/>
  <c r="L90" i="6"/>
  <c r="L104" i="6"/>
  <c r="J104" i="6"/>
  <c r="L135" i="6"/>
  <c r="J135" i="6"/>
  <c r="L141" i="9"/>
  <c r="J141" i="9"/>
  <c r="J95" i="8"/>
  <c r="L95" i="8"/>
  <c r="J140" i="8"/>
  <c r="L140" i="8"/>
  <c r="L58" i="15"/>
  <c r="J58" i="15"/>
  <c r="J65" i="15"/>
  <c r="L65" i="15"/>
  <c r="L6" i="13"/>
  <c r="J6" i="13"/>
  <c r="L61" i="13"/>
  <c r="J61" i="13"/>
  <c r="J123" i="13"/>
  <c r="L123" i="13"/>
  <c r="L54" i="3"/>
  <c r="L75" i="3"/>
  <c r="L88" i="3"/>
  <c r="L7" i="2"/>
  <c r="J85" i="12"/>
  <c r="J121" i="12"/>
  <c r="J122" i="12"/>
  <c r="J130" i="12"/>
  <c r="J3" i="10"/>
  <c r="J11" i="10"/>
  <c r="J19" i="10"/>
  <c r="J47" i="10"/>
  <c r="J55" i="10"/>
  <c r="L71" i="10"/>
  <c r="L84" i="10"/>
  <c r="L92" i="10"/>
  <c r="L104" i="10"/>
  <c r="L133" i="10"/>
  <c r="J39" i="5"/>
  <c r="L37" i="14"/>
  <c r="L38" i="14"/>
  <c r="L58" i="14"/>
  <c r="J86" i="14"/>
  <c r="J98" i="14"/>
  <c r="L100" i="14"/>
  <c r="L3" i="7"/>
  <c r="J23" i="7"/>
  <c r="L55" i="7"/>
  <c r="J77" i="7"/>
  <c r="J100" i="7"/>
  <c r="J106" i="7"/>
  <c r="J139" i="7"/>
  <c r="J115" i="4"/>
  <c r="L115" i="4"/>
  <c r="J8" i="17"/>
  <c r="L8" i="17"/>
  <c r="J19" i="17"/>
  <c r="L19" i="17"/>
  <c r="J23" i="17"/>
  <c r="L23" i="17"/>
  <c r="J44" i="17"/>
  <c r="L44" i="17"/>
  <c r="J23" i="18"/>
  <c r="J121" i="18"/>
  <c r="L121" i="18"/>
  <c r="L47" i="9"/>
  <c r="J47" i="9"/>
  <c r="L135" i="8"/>
  <c r="J135" i="8"/>
  <c r="L22" i="15"/>
  <c r="J22" i="15"/>
  <c r="L128" i="15"/>
  <c r="J128" i="15"/>
  <c r="J4" i="13"/>
  <c r="L4" i="13"/>
  <c r="L46" i="13"/>
  <c r="J46" i="13"/>
  <c r="L135" i="13"/>
  <c r="J135" i="13"/>
  <c r="J21" i="3"/>
  <c r="J42" i="3"/>
  <c r="L80" i="3"/>
  <c r="L92" i="3"/>
  <c r="L104" i="3"/>
  <c r="L7" i="3"/>
  <c r="L15" i="3"/>
  <c r="L59" i="3"/>
  <c r="L67" i="3"/>
  <c r="L84" i="3"/>
  <c r="L96" i="3"/>
  <c r="L108" i="3"/>
  <c r="L115" i="3"/>
  <c r="L117" i="3"/>
  <c r="J119" i="3"/>
  <c r="L121" i="3"/>
  <c r="J123" i="3"/>
  <c r="L124" i="3"/>
  <c r="L125" i="3"/>
  <c r="L144" i="3"/>
  <c r="L19" i="2"/>
  <c r="L23" i="2"/>
  <c r="L27" i="2"/>
  <c r="L35" i="2"/>
  <c r="L39" i="2"/>
  <c r="L43" i="2"/>
  <c r="L51" i="2"/>
  <c r="L55" i="2"/>
  <c r="L59" i="2"/>
  <c r="L137" i="2"/>
  <c r="L7" i="12"/>
  <c r="L11" i="12"/>
  <c r="J53" i="14"/>
  <c r="L53" i="14"/>
  <c r="J47" i="7"/>
  <c r="L47" i="7"/>
  <c r="J69" i="4"/>
  <c r="L69" i="4"/>
  <c r="L26" i="17"/>
  <c r="J26" i="17"/>
  <c r="J56" i="17"/>
  <c r="L56" i="17"/>
  <c r="L7" i="18"/>
  <c r="L55" i="18"/>
  <c r="J80" i="18"/>
  <c r="L80" i="18"/>
  <c r="L48" i="6"/>
  <c r="J48" i="6"/>
  <c r="J123" i="6"/>
  <c r="L84" i="6"/>
  <c r="J84" i="6"/>
  <c r="L129" i="6"/>
  <c r="J129" i="6"/>
  <c r="L137" i="6"/>
  <c r="J137" i="6"/>
  <c r="L11" i="9"/>
  <c r="J11" i="9"/>
  <c r="L18" i="8"/>
  <c r="J18" i="8"/>
  <c r="L42" i="8"/>
  <c r="J42" i="8"/>
  <c r="J108" i="8"/>
  <c r="L108" i="8"/>
  <c r="L10" i="15"/>
  <c r="J10" i="15"/>
  <c r="L48" i="15"/>
  <c r="J48" i="15"/>
  <c r="L72" i="15"/>
  <c r="J72" i="15"/>
  <c r="L113" i="15"/>
  <c r="J113" i="15"/>
  <c r="J142" i="15"/>
  <c r="L142" i="15"/>
  <c r="J11" i="13"/>
  <c r="L11" i="13"/>
  <c r="J44" i="13"/>
  <c r="L44" i="13"/>
  <c r="L58" i="13"/>
  <c r="J58" i="13"/>
  <c r="L67" i="13"/>
  <c r="J67" i="13"/>
  <c r="L77" i="13"/>
  <c r="J77" i="13"/>
  <c r="L88" i="13"/>
  <c r="J88" i="13"/>
  <c r="L111" i="13"/>
  <c r="J111" i="13"/>
  <c r="L133" i="7"/>
  <c r="J8" i="4"/>
  <c r="J40" i="4"/>
  <c r="L61" i="4"/>
  <c r="L73" i="4"/>
  <c r="J80" i="4"/>
  <c r="L82" i="4"/>
  <c r="L98" i="4"/>
  <c r="L106" i="4"/>
  <c r="J113" i="4"/>
  <c r="L119" i="4"/>
  <c r="J121" i="4"/>
  <c r="L123" i="4"/>
  <c r="L129" i="4"/>
  <c r="L11" i="17"/>
  <c r="L24" i="17"/>
  <c r="L52" i="17"/>
  <c r="J54" i="17"/>
  <c r="L63" i="18"/>
  <c r="L67" i="18"/>
  <c r="L84" i="18"/>
  <c r="L96" i="18"/>
  <c r="L104" i="18"/>
  <c r="L117" i="18"/>
  <c r="L125" i="18"/>
  <c r="J129" i="18"/>
  <c r="J13" i="6"/>
  <c r="J49" i="6"/>
  <c r="J56" i="6"/>
  <c r="J102" i="6"/>
  <c r="L106" i="6"/>
  <c r="J119" i="6"/>
  <c r="L70" i="8"/>
  <c r="J70" i="8"/>
  <c r="J96" i="8"/>
  <c r="L96" i="8"/>
  <c r="J132" i="8"/>
  <c r="L132" i="8"/>
  <c r="J141" i="8"/>
  <c r="L141" i="8"/>
  <c r="J8" i="15"/>
  <c r="L8" i="15"/>
  <c r="L68" i="15"/>
  <c r="J68" i="15"/>
  <c r="L112" i="15"/>
  <c r="J112" i="15"/>
  <c r="J8" i="13"/>
  <c r="L8" i="13"/>
  <c r="J56" i="13"/>
  <c r="L56" i="13"/>
  <c r="L129" i="13"/>
  <c r="J129" i="13"/>
  <c r="J63" i="9"/>
  <c r="J84" i="9"/>
  <c r="J96" i="9"/>
  <c r="J117" i="9"/>
  <c r="J129" i="9"/>
  <c r="J6" i="8"/>
  <c r="J43" i="8"/>
  <c r="L45" i="8"/>
  <c r="J46" i="8"/>
  <c r="J47" i="8"/>
  <c r="L52" i="8"/>
  <c r="J54" i="8"/>
  <c r="L78" i="8"/>
  <c r="J115" i="8"/>
  <c r="J123" i="8"/>
  <c r="L133" i="8"/>
  <c r="J4" i="15"/>
  <c r="J6" i="15"/>
  <c r="J26" i="15"/>
  <c r="J60" i="15"/>
  <c r="J63" i="15"/>
  <c r="J97" i="15"/>
  <c r="J99" i="15"/>
  <c r="J124" i="15"/>
  <c r="J132" i="15"/>
  <c r="L12" i="13"/>
  <c r="J14" i="13"/>
  <c r="J22" i="13"/>
  <c r="L47" i="13"/>
  <c r="L48" i="13"/>
  <c r="J50" i="13"/>
  <c r="L52" i="13"/>
  <c r="L59" i="13"/>
  <c r="J71" i="13"/>
  <c r="J73" i="13"/>
  <c r="J94" i="13"/>
  <c r="J102" i="13"/>
  <c r="J104" i="13"/>
  <c r="J137" i="13"/>
  <c r="J141" i="13"/>
  <c r="M131" i="3"/>
  <c r="K131" i="3"/>
  <c r="K107" i="12"/>
  <c r="M107" i="12"/>
  <c r="K85" i="14"/>
  <c r="M85" i="14"/>
  <c r="M99" i="14"/>
  <c r="K99" i="14"/>
  <c r="M105" i="7"/>
  <c r="K105" i="7"/>
  <c r="K138" i="7"/>
  <c r="M138" i="7"/>
  <c r="M28" i="4"/>
  <c r="K28" i="4"/>
  <c r="K35" i="4"/>
  <c r="M35" i="4"/>
  <c r="M110" i="4"/>
  <c r="K110" i="4"/>
  <c r="M136" i="4"/>
  <c r="K136" i="4"/>
  <c r="K14" i="17"/>
  <c r="M14" i="17"/>
  <c r="M35" i="17"/>
  <c r="K35" i="17"/>
  <c r="M43" i="17"/>
  <c r="K43" i="17"/>
  <c r="K68" i="17"/>
  <c r="M68" i="17"/>
  <c r="K83" i="17"/>
  <c r="M83" i="17"/>
  <c r="K101" i="17"/>
  <c r="M101" i="17"/>
  <c r="K116" i="17"/>
  <c r="M116" i="17"/>
  <c r="K134" i="17"/>
  <c r="M134" i="17"/>
  <c r="M26" i="18"/>
  <c r="K26" i="18"/>
  <c r="M34" i="18"/>
  <c r="K34" i="18"/>
  <c r="K45" i="18"/>
  <c r="M45" i="18"/>
  <c r="M59" i="18"/>
  <c r="K59" i="18"/>
  <c r="M7" i="2"/>
  <c r="K7" i="2"/>
  <c r="M31" i="2"/>
  <c r="K31" i="2"/>
  <c r="K138" i="2"/>
  <c r="M138" i="2"/>
  <c r="M68" i="12"/>
  <c r="K68" i="12"/>
  <c r="M64" i="10"/>
  <c r="K64" i="10"/>
  <c r="M3" i="5"/>
  <c r="K3" i="5"/>
  <c r="M58" i="5"/>
  <c r="K58" i="5"/>
  <c r="K7" i="14"/>
  <c r="M7" i="14"/>
  <c r="K52" i="14"/>
  <c r="M52" i="14"/>
  <c r="M62" i="14"/>
  <c r="K62" i="14"/>
  <c r="M130" i="14"/>
  <c r="K130" i="14"/>
  <c r="M136" i="18"/>
  <c r="K136" i="18"/>
  <c r="K3" i="6"/>
  <c r="M3" i="6"/>
  <c r="K16" i="6"/>
  <c r="M16" i="6"/>
  <c r="K8" i="3"/>
  <c r="K10" i="3"/>
  <c r="K68" i="3"/>
  <c r="K70" i="3"/>
  <c r="M74" i="3"/>
  <c r="K76" i="3"/>
  <c r="K78" i="3"/>
  <c r="M91" i="3"/>
  <c r="K93" i="3"/>
  <c r="K95" i="3"/>
  <c r="M107" i="3"/>
  <c r="K110" i="3"/>
  <c r="K112" i="3"/>
  <c r="K123" i="3"/>
  <c r="K126" i="3"/>
  <c r="M126" i="3"/>
  <c r="K135" i="3"/>
  <c r="K62" i="2"/>
  <c r="M62" i="2"/>
  <c r="M64" i="2"/>
  <c r="M105" i="2"/>
  <c r="M19" i="12"/>
  <c r="K19" i="12"/>
  <c r="M33" i="12"/>
  <c r="K34" i="12"/>
  <c r="M110" i="12"/>
  <c r="K110" i="12"/>
  <c r="K121" i="12"/>
  <c r="M121" i="12"/>
  <c r="M130" i="12"/>
  <c r="K130" i="12"/>
  <c r="M17" i="10"/>
  <c r="K18" i="10"/>
  <c r="K29" i="10"/>
  <c r="M29" i="10"/>
  <c r="K91" i="5"/>
  <c r="M91" i="5"/>
  <c r="M97" i="5"/>
  <c r="K36" i="14"/>
  <c r="M36" i="14"/>
  <c r="M93" i="14"/>
  <c r="K93" i="14"/>
  <c r="M36" i="7"/>
  <c r="K36" i="7"/>
  <c r="K38" i="7"/>
  <c r="M40" i="7"/>
  <c r="K72" i="7"/>
  <c r="M72" i="7"/>
  <c r="K87" i="7"/>
  <c r="M87" i="7"/>
  <c r="M112" i="7"/>
  <c r="K112" i="7"/>
  <c r="M126" i="7"/>
  <c r="K2" i="4"/>
  <c r="M2" i="4"/>
  <c r="K38" i="4"/>
  <c r="M38" i="4"/>
  <c r="M78" i="4"/>
  <c r="K78" i="4"/>
  <c r="K91" i="4"/>
  <c r="M91" i="4"/>
  <c r="M93" i="4"/>
  <c r="K99" i="4"/>
  <c r="M99" i="4"/>
  <c r="M107" i="4"/>
  <c r="K107" i="4"/>
  <c r="M114" i="4"/>
  <c r="K114" i="4"/>
  <c r="K142" i="4"/>
  <c r="M142" i="4"/>
  <c r="K6" i="17"/>
  <c r="M6" i="17"/>
  <c r="K17" i="17"/>
  <c r="M17" i="17"/>
  <c r="K33" i="17"/>
  <c r="M33" i="17"/>
  <c r="K57" i="18"/>
  <c r="M57" i="18"/>
  <c r="K50" i="9"/>
  <c r="M50" i="9"/>
  <c r="K9" i="2"/>
  <c r="M9" i="2"/>
  <c r="M35" i="12"/>
  <c r="K35" i="12"/>
  <c r="K37" i="12"/>
  <c r="M37" i="12"/>
  <c r="M31" i="10"/>
  <c r="K31" i="10"/>
  <c r="M112" i="14"/>
  <c r="K112" i="14"/>
  <c r="K26" i="7"/>
  <c r="M26" i="7"/>
  <c r="M59" i="7"/>
  <c r="K59" i="7"/>
  <c r="M20" i="4"/>
  <c r="K20" i="4"/>
  <c r="K130" i="3"/>
  <c r="M130" i="3"/>
  <c r="M47" i="2"/>
  <c r="K47" i="2"/>
  <c r="K78" i="2"/>
  <c r="M78" i="2"/>
  <c r="K114" i="2"/>
  <c r="M114" i="2"/>
  <c r="K21" i="5"/>
  <c r="M21" i="5"/>
  <c r="K34" i="3"/>
  <c r="M36" i="3"/>
  <c r="K42" i="3"/>
  <c r="M44" i="3"/>
  <c r="K50" i="3"/>
  <c r="M52" i="3"/>
  <c r="M72" i="3"/>
  <c r="K87" i="3"/>
  <c r="M89" i="3"/>
  <c r="K103" i="3"/>
  <c r="M105" i="3"/>
  <c r="K124" i="3"/>
  <c r="M132" i="3"/>
  <c r="K132" i="3"/>
  <c r="K3" i="2"/>
  <c r="M5" i="2"/>
  <c r="K6" i="2"/>
  <c r="K27" i="2"/>
  <c r="M29" i="2"/>
  <c r="K30" i="2"/>
  <c r="K43" i="2"/>
  <c r="M45" i="2"/>
  <c r="K46" i="2"/>
  <c r="K59" i="2"/>
  <c r="M89" i="2"/>
  <c r="K122" i="2"/>
  <c r="M122" i="2"/>
  <c r="K135" i="2"/>
  <c r="M135" i="2"/>
  <c r="K140" i="2"/>
  <c r="M26" i="12"/>
  <c r="K26" i="12"/>
  <c r="M49" i="10"/>
  <c r="K50" i="10"/>
  <c r="M97" i="10"/>
  <c r="K97" i="10"/>
  <c r="K99" i="10"/>
  <c r="M101" i="10"/>
  <c r="M130" i="10"/>
  <c r="K130" i="10"/>
  <c r="K132" i="10"/>
  <c r="M134" i="10"/>
  <c r="K13" i="5"/>
  <c r="M13" i="5"/>
  <c r="M55" i="5"/>
  <c r="K55" i="5"/>
  <c r="M72" i="5"/>
  <c r="K124" i="5"/>
  <c r="M124" i="5"/>
  <c r="M130" i="5"/>
  <c r="M9" i="14"/>
  <c r="K9" i="14"/>
  <c r="K15" i="14"/>
  <c r="M15" i="14"/>
  <c r="K24" i="14"/>
  <c r="M24" i="14"/>
  <c r="K55" i="14"/>
  <c r="M55" i="14"/>
  <c r="K132" i="14"/>
  <c r="M6" i="7"/>
  <c r="K62" i="18"/>
  <c r="M62" i="18"/>
  <c r="K24" i="6"/>
  <c r="M24" i="6"/>
  <c r="K122" i="6"/>
  <c r="M122" i="6"/>
  <c r="K138" i="6"/>
  <c r="M138" i="6"/>
  <c r="K5" i="9"/>
  <c r="M5" i="9"/>
  <c r="M14" i="9"/>
  <c r="K14" i="9"/>
  <c r="K25" i="9"/>
  <c r="M25" i="9"/>
  <c r="M39" i="9"/>
  <c r="K39" i="9"/>
  <c r="K17" i="2"/>
  <c r="M17" i="2"/>
  <c r="K33" i="2"/>
  <c r="M33" i="2"/>
  <c r="K49" i="2"/>
  <c r="M49" i="2"/>
  <c r="M95" i="2"/>
  <c r="M112" i="2"/>
  <c r="K144" i="2"/>
  <c r="M2" i="12"/>
  <c r="K3" i="12"/>
  <c r="K25" i="12"/>
  <c r="M25" i="12"/>
  <c r="M45" i="12"/>
  <c r="K46" i="12"/>
  <c r="K58" i="12"/>
  <c r="K69" i="12"/>
  <c r="M70" i="12"/>
  <c r="M74" i="12"/>
  <c r="M78" i="12"/>
  <c r="M83" i="12"/>
  <c r="M101" i="12"/>
  <c r="K101" i="12"/>
  <c r="M108" i="12"/>
  <c r="K108" i="12"/>
  <c r="M124" i="12"/>
  <c r="K133" i="12"/>
  <c r="M133" i="12"/>
  <c r="M7" i="10"/>
  <c r="K7" i="10"/>
  <c r="K9" i="10"/>
  <c r="M9" i="10"/>
  <c r="M21" i="10"/>
  <c r="K22" i="10"/>
  <c r="M30" i="10"/>
  <c r="K30" i="10"/>
  <c r="M37" i="10"/>
  <c r="K38" i="10"/>
  <c r="M114" i="10"/>
  <c r="K114" i="10"/>
  <c r="K116" i="10"/>
  <c r="M118" i="10"/>
  <c r="M10" i="5"/>
  <c r="K11" i="5"/>
  <c r="M18" i="5"/>
  <c r="K19" i="5"/>
  <c r="M23" i="5"/>
  <c r="K23" i="5"/>
  <c r="M29" i="5"/>
  <c r="K30" i="5"/>
  <c r="K57" i="5"/>
  <c r="M57" i="5"/>
  <c r="M89" i="5"/>
  <c r="K107" i="5"/>
  <c r="M107" i="5"/>
  <c r="M114" i="5"/>
  <c r="K8" i="14"/>
  <c r="M8" i="14"/>
  <c r="K23" i="14"/>
  <c r="M23" i="14"/>
  <c r="M25" i="14"/>
  <c r="K32" i="14"/>
  <c r="M32" i="14"/>
  <c r="K35" i="14"/>
  <c r="M35" i="14"/>
  <c r="M39" i="14"/>
  <c r="M47" i="14"/>
  <c r="K48" i="14"/>
  <c r="M53" i="14"/>
  <c r="K53" i="14"/>
  <c r="M64" i="14"/>
  <c r="K64" i="14"/>
  <c r="K66" i="14"/>
  <c r="M86" i="14"/>
  <c r="K86" i="14"/>
  <c r="M91" i="14"/>
  <c r="K91" i="14"/>
  <c r="M116" i="14"/>
  <c r="K116" i="14"/>
  <c r="K120" i="14"/>
  <c r="K124" i="14"/>
  <c r="K128" i="14"/>
  <c r="M134" i="14"/>
  <c r="K134" i="14"/>
  <c r="M24" i="7"/>
  <c r="M54" i="7"/>
  <c r="K54" i="7"/>
  <c r="K60" i="7"/>
  <c r="M60" i="7"/>
  <c r="M70" i="7"/>
  <c r="K70" i="7"/>
  <c r="K30" i="4"/>
  <c r="M30" i="4"/>
  <c r="M66" i="4"/>
  <c r="K66" i="4"/>
  <c r="M89" i="4"/>
  <c r="K89" i="4"/>
  <c r="M2" i="18"/>
  <c r="K2" i="18"/>
  <c r="K13" i="18"/>
  <c r="M13" i="18"/>
  <c r="M27" i="18"/>
  <c r="K27" i="18"/>
  <c r="M35" i="18"/>
  <c r="K35" i="18"/>
  <c r="K37" i="18"/>
  <c r="M37" i="18"/>
  <c r="M46" i="18"/>
  <c r="K46" i="18"/>
  <c r="K64" i="18"/>
  <c r="M64" i="18"/>
  <c r="K78" i="18"/>
  <c r="M78" i="18"/>
  <c r="M6" i="9"/>
  <c r="K6" i="9"/>
  <c r="M15" i="9"/>
  <c r="K15" i="9"/>
  <c r="K17" i="9"/>
  <c r="M17" i="9"/>
  <c r="M26" i="9"/>
  <c r="K26" i="9"/>
  <c r="K45" i="9"/>
  <c r="M45" i="9"/>
  <c r="M62" i="9"/>
  <c r="K62" i="9"/>
  <c r="M85" i="9"/>
  <c r="K85" i="9"/>
  <c r="M95" i="9"/>
  <c r="K95" i="9"/>
  <c r="M118" i="9"/>
  <c r="K118" i="9"/>
  <c r="M128" i="9"/>
  <c r="K128" i="9"/>
  <c r="M7" i="8"/>
  <c r="K7" i="8"/>
  <c r="M44" i="8"/>
  <c r="K44" i="8"/>
  <c r="M15" i="13"/>
  <c r="K15" i="13"/>
  <c r="K21" i="13"/>
  <c r="M21" i="13"/>
  <c r="K30" i="13"/>
  <c r="M30" i="13"/>
  <c r="K74" i="13"/>
  <c r="M74" i="13"/>
  <c r="K142" i="13"/>
  <c r="M142" i="13"/>
  <c r="M136" i="2"/>
  <c r="K136" i="2"/>
  <c r="K125" i="12"/>
  <c r="M125" i="12"/>
  <c r="K129" i="12"/>
  <c r="M129" i="12"/>
  <c r="M137" i="12"/>
  <c r="K137" i="12"/>
  <c r="M39" i="10"/>
  <c r="K39" i="10"/>
  <c r="K41" i="10"/>
  <c r="M41" i="10"/>
  <c r="M81" i="10"/>
  <c r="K81" i="10"/>
  <c r="M2" i="5"/>
  <c r="K2" i="5"/>
  <c r="M59" i="5"/>
  <c r="K59" i="5"/>
  <c r="K74" i="5"/>
  <c r="M74" i="5"/>
  <c r="K140" i="5"/>
  <c r="M140" i="5"/>
  <c r="K16" i="14"/>
  <c r="M16" i="14"/>
  <c r="M37" i="14"/>
  <c r="K37" i="14"/>
  <c r="K40" i="14"/>
  <c r="M40" i="14"/>
  <c r="K51" i="14"/>
  <c r="M51" i="14"/>
  <c r="M56" i="14"/>
  <c r="K56" i="14"/>
  <c r="K84" i="14"/>
  <c r="M84" i="14"/>
  <c r="M107" i="14"/>
  <c r="K107" i="14"/>
  <c r="M118" i="14"/>
  <c r="K118" i="14"/>
  <c r="M22" i="7"/>
  <c r="K22" i="7"/>
  <c r="M93" i="7"/>
  <c r="K93" i="7"/>
  <c r="M120" i="7"/>
  <c r="K120" i="7"/>
  <c r="M130" i="7"/>
  <c r="K130" i="7"/>
  <c r="K3" i="4"/>
  <c r="M3" i="4"/>
  <c r="M16" i="4"/>
  <c r="K16" i="4"/>
  <c r="M27" i="4"/>
  <c r="K27" i="4"/>
  <c r="K91" i="18"/>
  <c r="M91" i="18"/>
  <c r="M114" i="18"/>
  <c r="K114" i="18"/>
  <c r="M4" i="6"/>
  <c r="K4" i="6"/>
  <c r="K43" i="6"/>
  <c r="M43" i="6"/>
  <c r="M53" i="6"/>
  <c r="K53" i="6"/>
  <c r="M101" i="6"/>
  <c r="K101" i="6"/>
  <c r="K103" i="6"/>
  <c r="M103" i="6"/>
  <c r="K120" i="6"/>
  <c r="M120" i="6"/>
  <c r="M128" i="2"/>
  <c r="K128" i="2"/>
  <c r="K134" i="2"/>
  <c r="M134" i="2"/>
  <c r="M105" i="12"/>
  <c r="K105" i="12"/>
  <c r="M114" i="12"/>
  <c r="K114" i="12"/>
  <c r="M134" i="12"/>
  <c r="K134" i="12"/>
  <c r="K9" i="5"/>
  <c r="M9" i="5"/>
  <c r="K17" i="5"/>
  <c r="M17" i="5"/>
  <c r="K4" i="14"/>
  <c r="M4" i="14"/>
  <c r="M5" i="14"/>
  <c r="K5" i="14"/>
  <c r="M70" i="14"/>
  <c r="K70" i="14"/>
  <c r="M82" i="14"/>
  <c r="K82" i="14"/>
  <c r="M83" i="14"/>
  <c r="K83" i="14"/>
  <c r="M101" i="14"/>
  <c r="K101" i="14"/>
  <c r="M20" i="7"/>
  <c r="K20" i="7"/>
  <c r="M52" i="7"/>
  <c r="K52" i="7"/>
  <c r="M58" i="7"/>
  <c r="K58" i="7"/>
  <c r="M24" i="4"/>
  <c r="K24" i="4"/>
  <c r="M68" i="4"/>
  <c r="K68" i="4"/>
  <c r="K134" i="4"/>
  <c r="M134" i="4"/>
  <c r="M7" i="17"/>
  <c r="K7" i="17"/>
  <c r="K13" i="17"/>
  <c r="M13" i="17"/>
  <c r="M18" i="17"/>
  <c r="K18" i="17"/>
  <c r="M34" i="17"/>
  <c r="K34" i="17"/>
  <c r="K25" i="18"/>
  <c r="M25" i="18"/>
  <c r="K74" i="18"/>
  <c r="M74" i="18"/>
  <c r="M132" i="18"/>
  <c r="K132" i="18"/>
  <c r="K134" i="18"/>
  <c r="M134" i="18"/>
  <c r="M5" i="6"/>
  <c r="K5" i="6"/>
  <c r="K12" i="6"/>
  <c r="M12" i="6"/>
  <c r="M41" i="6"/>
  <c r="K41" i="6"/>
  <c r="K72" i="6"/>
  <c r="M72" i="6"/>
  <c r="K89" i="6"/>
  <c r="M89" i="6"/>
  <c r="M74" i="9"/>
  <c r="K74" i="9"/>
  <c r="M89" i="9"/>
  <c r="K89" i="9"/>
  <c r="M107" i="9"/>
  <c r="K107" i="9"/>
  <c r="M122" i="9"/>
  <c r="K122" i="9"/>
  <c r="M140" i="9"/>
  <c r="K140" i="9"/>
  <c r="M17" i="8"/>
  <c r="K17" i="8"/>
  <c r="M35" i="8"/>
  <c r="K35" i="8"/>
  <c r="K46" i="8"/>
  <c r="M46" i="8"/>
  <c r="M47" i="13"/>
  <c r="K47" i="13"/>
  <c r="K53" i="13"/>
  <c r="M53" i="13"/>
  <c r="K83" i="13"/>
  <c r="M83" i="13"/>
  <c r="K105" i="13"/>
  <c r="M105" i="13"/>
  <c r="M128" i="13"/>
  <c r="K128" i="13"/>
  <c r="M73" i="14"/>
  <c r="K73" i="14"/>
  <c r="M91" i="7"/>
  <c r="K91" i="7"/>
  <c r="M99" i="7"/>
  <c r="K99" i="7"/>
  <c r="M128" i="7"/>
  <c r="K128" i="7"/>
  <c r="M144" i="7"/>
  <c r="K144" i="7"/>
  <c r="M12" i="4"/>
  <c r="K12" i="4"/>
  <c r="K26" i="4"/>
  <c r="M26" i="4"/>
  <c r="K34" i="4"/>
  <c r="M34" i="4"/>
  <c r="K112" i="4"/>
  <c r="M112" i="4"/>
  <c r="K5" i="17"/>
  <c r="M5" i="17"/>
  <c r="M15" i="17"/>
  <c r="K15" i="17"/>
  <c r="M31" i="17"/>
  <c r="K31" i="17"/>
  <c r="K37" i="17"/>
  <c r="M37" i="17"/>
  <c r="M47" i="17"/>
  <c r="K47" i="17"/>
  <c r="K66" i="17"/>
  <c r="M66" i="17"/>
  <c r="K85" i="17"/>
  <c r="M85" i="17"/>
  <c r="K99" i="17"/>
  <c r="M99" i="17"/>
  <c r="K118" i="17"/>
  <c r="M118" i="17"/>
  <c r="K132" i="17"/>
  <c r="M132" i="17"/>
  <c r="M3" i="18"/>
  <c r="K3" i="18"/>
  <c r="K5" i="18"/>
  <c r="M5" i="18"/>
  <c r="M14" i="18"/>
  <c r="K14" i="18"/>
  <c r="K33" i="18"/>
  <c r="M33" i="18"/>
  <c r="M58" i="18"/>
  <c r="K58" i="18"/>
  <c r="K7" i="6"/>
  <c r="M7" i="6"/>
  <c r="K15" i="6"/>
  <c r="M15" i="6"/>
  <c r="M87" i="6"/>
  <c r="K87" i="6"/>
  <c r="K107" i="6"/>
  <c r="M107" i="6"/>
  <c r="M114" i="6"/>
  <c r="K114" i="6"/>
  <c r="M136" i="6"/>
  <c r="K136" i="6"/>
  <c r="K13" i="9"/>
  <c r="M13" i="9"/>
  <c r="M38" i="9"/>
  <c r="K38" i="9"/>
  <c r="M47" i="9"/>
  <c r="K47" i="9"/>
  <c r="K49" i="9"/>
  <c r="M49" i="9"/>
  <c r="M58" i="9"/>
  <c r="K58" i="9"/>
  <c r="M72" i="9"/>
  <c r="K72" i="9"/>
  <c r="M91" i="9"/>
  <c r="K91" i="9"/>
  <c r="M105" i="9"/>
  <c r="K105" i="9"/>
  <c r="M124" i="9"/>
  <c r="K124" i="9"/>
  <c r="M138" i="9"/>
  <c r="K138" i="9"/>
  <c r="K30" i="15"/>
  <c r="M30" i="15"/>
  <c r="K38" i="15"/>
  <c r="M38" i="15"/>
  <c r="K39" i="15"/>
  <c r="M39" i="15"/>
  <c r="K51" i="15"/>
  <c r="M51" i="15"/>
  <c r="K75" i="15"/>
  <c r="M75" i="15"/>
  <c r="K87" i="15"/>
  <c r="M87" i="15"/>
  <c r="K88" i="15"/>
  <c r="M88" i="15"/>
  <c r="K117" i="15"/>
  <c r="M117" i="15"/>
  <c r="K135" i="15"/>
  <c r="M135" i="15"/>
  <c r="M19" i="13"/>
  <c r="K19" i="13"/>
  <c r="M27" i="13"/>
  <c r="K27" i="13"/>
  <c r="K29" i="13"/>
  <c r="M29" i="13"/>
  <c r="M29" i="6"/>
  <c r="K29" i="6"/>
  <c r="K31" i="6"/>
  <c r="M31" i="6"/>
  <c r="K55" i="6"/>
  <c r="M55" i="6"/>
  <c r="M64" i="6"/>
  <c r="K64" i="6"/>
  <c r="K74" i="6"/>
  <c r="M74" i="6"/>
  <c r="K37" i="9"/>
  <c r="M37" i="9"/>
  <c r="M46" i="9"/>
  <c r="K46" i="9"/>
  <c r="K57" i="9"/>
  <c r="M57" i="9"/>
  <c r="M68" i="9"/>
  <c r="K68" i="9"/>
  <c r="M78" i="9"/>
  <c r="K78" i="9"/>
  <c r="M101" i="9"/>
  <c r="K101" i="9"/>
  <c r="M112" i="9"/>
  <c r="K112" i="9"/>
  <c r="M134" i="9"/>
  <c r="K134" i="9"/>
  <c r="M144" i="9"/>
  <c r="K144" i="9"/>
  <c r="M75" i="8"/>
  <c r="K75" i="8"/>
  <c r="M91" i="8"/>
  <c r="K91" i="8"/>
  <c r="M95" i="8"/>
  <c r="K95" i="8"/>
  <c r="K97" i="8"/>
  <c r="M97" i="8"/>
  <c r="M127" i="8"/>
  <c r="K127" i="8"/>
  <c r="M135" i="8"/>
  <c r="K135" i="8"/>
  <c r="M136" i="8"/>
  <c r="K136" i="8"/>
  <c r="M140" i="8"/>
  <c r="K140" i="8"/>
  <c r="K142" i="8"/>
  <c r="M142" i="8"/>
  <c r="M19" i="15"/>
  <c r="K19" i="15"/>
  <c r="K29" i="15"/>
  <c r="M29" i="15"/>
  <c r="K37" i="15"/>
  <c r="M37" i="15"/>
  <c r="M65" i="15"/>
  <c r="K65" i="15"/>
  <c r="K74" i="15"/>
  <c r="M74" i="15"/>
  <c r="M3" i="17"/>
  <c r="K3" i="17"/>
  <c r="M11" i="17"/>
  <c r="K11" i="17"/>
  <c r="M144" i="18"/>
  <c r="K144" i="18"/>
  <c r="K11" i="6"/>
  <c r="M11" i="6"/>
  <c r="K23" i="6"/>
  <c r="M23" i="6"/>
  <c r="M15" i="8"/>
  <c r="K15" i="8"/>
  <c r="K25" i="8"/>
  <c r="M25" i="8"/>
  <c r="M98" i="8"/>
  <c r="K126" i="8"/>
  <c r="M126" i="8"/>
  <c r="K134" i="8"/>
  <c r="M134" i="8"/>
  <c r="M139" i="8"/>
  <c r="K139" i="8"/>
  <c r="K6" i="15"/>
  <c r="M6" i="15"/>
  <c r="K7" i="15"/>
  <c r="M7" i="15"/>
  <c r="K63" i="15"/>
  <c r="M63" i="15"/>
  <c r="M100" i="15"/>
  <c r="K103" i="15"/>
  <c r="M103" i="15"/>
  <c r="K113" i="15"/>
  <c r="M113" i="15"/>
  <c r="M120" i="13"/>
  <c r="K120" i="13"/>
  <c r="K126" i="13"/>
  <c r="M126" i="13"/>
  <c r="K25" i="17"/>
  <c r="M25" i="17"/>
  <c r="K138" i="18"/>
  <c r="M138" i="18"/>
  <c r="M21" i="6"/>
  <c r="K21" i="6"/>
  <c r="M33" i="6"/>
  <c r="K33" i="6"/>
  <c r="K35" i="6"/>
  <c r="M35" i="6"/>
  <c r="M62" i="6"/>
  <c r="K62" i="6"/>
  <c r="M60" i="9"/>
  <c r="K60" i="9"/>
  <c r="M21" i="8"/>
  <c r="K21" i="8"/>
  <c r="M82" i="8"/>
  <c r="K82" i="8"/>
  <c r="M92" i="8"/>
  <c r="K92" i="8"/>
  <c r="K114" i="8"/>
  <c r="M114" i="8"/>
  <c r="M61" i="15"/>
  <c r="K61" i="15"/>
  <c r="M39" i="13"/>
  <c r="K39" i="13"/>
  <c r="K54" i="13"/>
  <c r="M54" i="13"/>
  <c r="K64" i="13"/>
  <c r="M64" i="13"/>
  <c r="M89" i="13"/>
  <c r="K89" i="13"/>
  <c r="M97" i="13"/>
  <c r="K97" i="13"/>
  <c r="K114" i="13"/>
  <c r="M114" i="13"/>
  <c r="M33" i="8"/>
  <c r="K33" i="8"/>
  <c r="M74" i="8"/>
  <c r="K74" i="8"/>
  <c r="M78" i="8"/>
  <c r="K78" i="8"/>
  <c r="M111" i="8"/>
  <c r="K111" i="8"/>
  <c r="M112" i="8"/>
  <c r="K112" i="8"/>
  <c r="M120" i="8"/>
  <c r="K120" i="8"/>
  <c r="K122" i="8"/>
  <c r="M122" i="8"/>
  <c r="K138" i="8"/>
  <c r="M138" i="8"/>
  <c r="K5" i="15"/>
  <c r="M5" i="15"/>
  <c r="K18" i="15"/>
  <c r="M18" i="15"/>
  <c r="K26" i="15"/>
  <c r="M26" i="15"/>
  <c r="K50" i="15"/>
  <c r="M50" i="15"/>
  <c r="K73" i="15"/>
  <c r="M73" i="15"/>
  <c r="K86" i="15"/>
  <c r="M86" i="15"/>
  <c r="K143" i="15"/>
  <c r="M143" i="15"/>
  <c r="K9" i="13"/>
  <c r="M9" i="13"/>
  <c r="M51" i="13"/>
  <c r="K51" i="13"/>
  <c r="M59" i="13"/>
  <c r="K59" i="13"/>
  <c r="M68" i="13"/>
  <c r="K68" i="13"/>
  <c r="M95" i="13"/>
  <c r="K95" i="13"/>
  <c r="M103" i="13"/>
  <c r="K103" i="13"/>
  <c r="M73" i="8"/>
  <c r="K73" i="8"/>
  <c r="M77" i="8"/>
  <c r="K77" i="8"/>
  <c r="M83" i="8"/>
  <c r="K83" i="8"/>
  <c r="K110" i="8"/>
  <c r="M110" i="8"/>
  <c r="M119" i="8"/>
  <c r="K119" i="8"/>
  <c r="M128" i="8"/>
  <c r="K128" i="8"/>
  <c r="K17" i="15"/>
  <c r="M17" i="15"/>
  <c r="K25" i="15"/>
  <c r="M25" i="15"/>
  <c r="K49" i="15"/>
  <c r="M49" i="15"/>
  <c r="M55" i="15"/>
  <c r="K55" i="15"/>
  <c r="M92" i="15"/>
  <c r="K92" i="15"/>
  <c r="M104" i="15"/>
  <c r="K104" i="15"/>
  <c r="M137" i="15"/>
  <c r="K137" i="15"/>
  <c r="M7" i="13"/>
  <c r="K7" i="13"/>
  <c r="K33" i="13"/>
  <c r="M33" i="13"/>
  <c r="K41" i="13"/>
  <c r="M41" i="13"/>
  <c r="M122" i="13"/>
  <c r="K122" i="13"/>
  <c r="L92" i="12"/>
  <c r="J92" i="12"/>
  <c r="J102" i="12"/>
  <c r="L102" i="12"/>
  <c r="L46" i="10"/>
  <c r="J46" i="10"/>
  <c r="L61" i="5"/>
  <c r="J61" i="5"/>
  <c r="L77" i="5"/>
  <c r="J77" i="5"/>
  <c r="L94" i="5"/>
  <c r="J94" i="5"/>
  <c r="L102" i="5"/>
  <c r="J102" i="5"/>
  <c r="L127" i="5"/>
  <c r="J127" i="5"/>
  <c r="L135" i="5"/>
  <c r="J135" i="5"/>
  <c r="L29" i="14"/>
  <c r="J29" i="14"/>
  <c r="J46" i="14"/>
  <c r="L46" i="14"/>
  <c r="L61" i="14"/>
  <c r="J61" i="14"/>
  <c r="J66" i="14"/>
  <c r="L66" i="14"/>
  <c r="J95" i="14"/>
  <c r="L95" i="14"/>
  <c r="L32" i="4"/>
  <c r="J32" i="4"/>
  <c r="L100" i="4"/>
  <c r="J100" i="4"/>
  <c r="L80" i="17"/>
  <c r="J80" i="17"/>
  <c r="L104" i="17"/>
  <c r="J104" i="17"/>
  <c r="L121" i="17"/>
  <c r="J121" i="17"/>
  <c r="L137" i="17"/>
  <c r="J137" i="17"/>
  <c r="L2" i="18"/>
  <c r="J2" i="18"/>
  <c r="L18" i="18"/>
  <c r="J18" i="18"/>
  <c r="L26" i="18"/>
  <c r="J26" i="18"/>
  <c r="L34" i="18"/>
  <c r="J34" i="18"/>
  <c r="L50" i="18"/>
  <c r="J50" i="18"/>
  <c r="L64" i="6"/>
  <c r="J64" i="6"/>
  <c r="J16" i="9"/>
  <c r="L16" i="9"/>
  <c r="J32" i="9"/>
  <c r="L32" i="9"/>
  <c r="J48" i="9"/>
  <c r="L48" i="9"/>
  <c r="L65" i="9"/>
  <c r="J65" i="9"/>
  <c r="L73" i="9"/>
  <c r="J73" i="9"/>
  <c r="L90" i="9"/>
  <c r="J90" i="9"/>
  <c r="L106" i="9"/>
  <c r="J106" i="9"/>
  <c r="L131" i="9"/>
  <c r="J131" i="9"/>
  <c r="L139" i="9"/>
  <c r="J139" i="9"/>
  <c r="L28" i="8"/>
  <c r="J28" i="8"/>
  <c r="J51" i="8"/>
  <c r="L51" i="8"/>
  <c r="J9" i="3"/>
  <c r="J17" i="3"/>
  <c r="J57" i="3"/>
  <c r="J65" i="3"/>
  <c r="J73" i="3"/>
  <c r="J82" i="3"/>
  <c r="J90" i="3"/>
  <c r="J98" i="3"/>
  <c r="J106" i="3"/>
  <c r="J111" i="3"/>
  <c r="J136" i="3"/>
  <c r="L4" i="2"/>
  <c r="L8" i="2"/>
  <c r="J14" i="2"/>
  <c r="J22" i="2"/>
  <c r="L24" i="2"/>
  <c r="J26" i="2"/>
  <c r="L28" i="2"/>
  <c r="J34" i="2"/>
  <c r="L36" i="2"/>
  <c r="J42" i="2"/>
  <c r="L44" i="2"/>
  <c r="J119" i="2"/>
  <c r="J120" i="2"/>
  <c r="J124" i="2"/>
  <c r="J129" i="2"/>
  <c r="J144" i="2"/>
  <c r="L8" i="12"/>
  <c r="J18" i="12"/>
  <c r="J26" i="12"/>
  <c r="J30" i="12"/>
  <c r="L32" i="12"/>
  <c r="J38" i="12"/>
  <c r="L40" i="12"/>
  <c r="J42" i="12"/>
  <c r="L44" i="12"/>
  <c r="L48" i="12"/>
  <c r="L55" i="12"/>
  <c r="J57" i="12"/>
  <c r="J72" i="12"/>
  <c r="L80" i="12"/>
  <c r="J80" i="12"/>
  <c r="J89" i="12"/>
  <c r="J90" i="12"/>
  <c r="L90" i="12"/>
  <c r="J113" i="12"/>
  <c r="L115" i="12"/>
  <c r="J6" i="10"/>
  <c r="L8" i="10"/>
  <c r="J18" i="10"/>
  <c r="L20" i="10"/>
  <c r="J44" i="10"/>
  <c r="L44" i="10"/>
  <c r="J52" i="10"/>
  <c r="L52" i="10"/>
  <c r="J69" i="10"/>
  <c r="J102" i="10"/>
  <c r="J111" i="10"/>
  <c r="J127" i="10"/>
  <c r="J11" i="5"/>
  <c r="J59" i="5"/>
  <c r="J24" i="14"/>
  <c r="J70" i="14"/>
  <c r="L70" i="14"/>
  <c r="J87" i="14"/>
  <c r="L87" i="14"/>
  <c r="L113" i="14"/>
  <c r="J113" i="14"/>
  <c r="L129" i="14"/>
  <c r="J129" i="14"/>
  <c r="J37" i="7"/>
  <c r="L63" i="7"/>
  <c r="J63" i="7"/>
  <c r="L96" i="7"/>
  <c r="J96" i="7"/>
  <c r="J38" i="17"/>
  <c r="J8" i="18"/>
  <c r="L8" i="18"/>
  <c r="J24" i="18"/>
  <c r="L24" i="18"/>
  <c r="J32" i="18"/>
  <c r="L32" i="18"/>
  <c r="J40" i="18"/>
  <c r="L40" i="18"/>
  <c r="J48" i="18"/>
  <c r="L48" i="18"/>
  <c r="J56" i="18"/>
  <c r="L56" i="18"/>
  <c r="J90" i="18"/>
  <c r="J123" i="18"/>
  <c r="J41" i="6"/>
  <c r="L6" i="9"/>
  <c r="J6" i="9"/>
  <c r="L14" i="9"/>
  <c r="J14" i="9"/>
  <c r="L22" i="9"/>
  <c r="J22" i="9"/>
  <c r="L30" i="9"/>
  <c r="J30" i="9"/>
  <c r="L38" i="9"/>
  <c r="J38" i="9"/>
  <c r="L46" i="9"/>
  <c r="J46" i="9"/>
  <c r="J91" i="8"/>
  <c r="L91" i="8"/>
  <c r="J136" i="8"/>
  <c r="L136" i="8"/>
  <c r="L27" i="15"/>
  <c r="J27" i="15"/>
  <c r="L39" i="15"/>
  <c r="J39" i="15"/>
  <c r="L50" i="15"/>
  <c r="J50" i="15"/>
  <c r="J143" i="13"/>
  <c r="L13" i="3"/>
  <c r="J19" i="3"/>
  <c r="J23" i="3"/>
  <c r="J27" i="3"/>
  <c r="J31" i="3"/>
  <c r="L35" i="3"/>
  <c r="J37" i="3"/>
  <c r="L39" i="3"/>
  <c r="J41" i="3"/>
  <c r="L43" i="3"/>
  <c r="J45" i="3"/>
  <c r="L47" i="3"/>
  <c r="J49" i="3"/>
  <c r="L51" i="3"/>
  <c r="J53" i="3"/>
  <c r="L61" i="3"/>
  <c r="L69" i="3"/>
  <c r="L77" i="3"/>
  <c r="L86" i="3"/>
  <c r="L94" i="3"/>
  <c r="L102" i="3"/>
  <c r="L113" i="3"/>
  <c r="L128" i="3"/>
  <c r="L129" i="3"/>
  <c r="J131" i="3"/>
  <c r="J63" i="2"/>
  <c r="J67" i="2"/>
  <c r="J71" i="2"/>
  <c r="J75" i="2"/>
  <c r="J80" i="2"/>
  <c r="J84" i="2"/>
  <c r="J88" i="2"/>
  <c r="J92" i="2"/>
  <c r="J96" i="2"/>
  <c r="J100" i="2"/>
  <c r="J104" i="2"/>
  <c r="J108" i="2"/>
  <c r="J113" i="2"/>
  <c r="J131" i="2"/>
  <c r="J136" i="2"/>
  <c r="J3" i="12"/>
  <c r="J6" i="12"/>
  <c r="L58" i="12"/>
  <c r="J58" i="12"/>
  <c r="J76" i="12"/>
  <c r="J77" i="12"/>
  <c r="L77" i="12"/>
  <c r="L84" i="12"/>
  <c r="J84" i="12"/>
  <c r="J93" i="12"/>
  <c r="J94" i="12"/>
  <c r="L94" i="12"/>
  <c r="L100" i="12"/>
  <c r="J100" i="12"/>
  <c r="J110" i="12"/>
  <c r="J111" i="12"/>
  <c r="L111" i="12"/>
  <c r="L141" i="12"/>
  <c r="J141" i="12"/>
  <c r="L34" i="10"/>
  <c r="J34" i="10"/>
  <c r="L42" i="10"/>
  <c r="J42" i="10"/>
  <c r="L50" i="10"/>
  <c r="J50" i="10"/>
  <c r="L58" i="10"/>
  <c r="J58" i="10"/>
  <c r="J15" i="5"/>
  <c r="J31" i="5"/>
  <c r="J47" i="5"/>
  <c r="L65" i="5"/>
  <c r="J65" i="5"/>
  <c r="L73" i="5"/>
  <c r="J73" i="5"/>
  <c r="L82" i="5"/>
  <c r="J82" i="5"/>
  <c r="L90" i="5"/>
  <c r="J90" i="5"/>
  <c r="L98" i="5"/>
  <c r="J98" i="5"/>
  <c r="L106" i="5"/>
  <c r="J106" i="5"/>
  <c r="L115" i="5"/>
  <c r="J115" i="5"/>
  <c r="L123" i="5"/>
  <c r="J123" i="5"/>
  <c r="L131" i="5"/>
  <c r="J131" i="5"/>
  <c r="L139" i="5"/>
  <c r="J139" i="5"/>
  <c r="J5" i="14"/>
  <c r="J6" i="14"/>
  <c r="L6" i="14"/>
  <c r="J20" i="14"/>
  <c r="L21" i="14"/>
  <c r="J21" i="14"/>
  <c r="J41" i="14"/>
  <c r="J42" i="14"/>
  <c r="L42" i="14"/>
  <c r="L50" i="14"/>
  <c r="J52" i="14"/>
  <c r="J78" i="14"/>
  <c r="L78" i="14"/>
  <c r="J91" i="14"/>
  <c r="L91" i="14"/>
  <c r="J99" i="14"/>
  <c r="L99" i="14"/>
  <c r="J13" i="7"/>
  <c r="J21" i="7"/>
  <c r="L59" i="7"/>
  <c r="J59" i="7"/>
  <c r="J84" i="7"/>
  <c r="L3" i="4"/>
  <c r="J3" i="4"/>
  <c r="J12" i="4"/>
  <c r="J13" i="4"/>
  <c r="L13" i="4"/>
  <c r="L16" i="4"/>
  <c r="J16" i="4"/>
  <c r="J44" i="4"/>
  <c r="L48" i="4"/>
  <c r="J48" i="4"/>
  <c r="L84" i="4"/>
  <c r="J84" i="4"/>
  <c r="L117" i="4"/>
  <c r="J117" i="4"/>
  <c r="L139" i="4"/>
  <c r="J139" i="4"/>
  <c r="L2" i="17"/>
  <c r="J2" i="17"/>
  <c r="L18" i="17"/>
  <c r="J18" i="17"/>
  <c r="L34" i="17"/>
  <c r="J34" i="17"/>
  <c r="J82" i="18"/>
  <c r="J115" i="18"/>
  <c r="J25" i="6"/>
  <c r="L37" i="6"/>
  <c r="J37" i="6"/>
  <c r="L73" i="6"/>
  <c r="J73" i="6"/>
  <c r="L82" i="6"/>
  <c r="J82" i="6"/>
  <c r="L125" i="6"/>
  <c r="J125" i="6"/>
  <c r="J4" i="9"/>
  <c r="L4" i="9"/>
  <c r="J12" i="9"/>
  <c r="L12" i="9"/>
  <c r="J20" i="9"/>
  <c r="L20" i="9"/>
  <c r="J28" i="9"/>
  <c r="L28" i="9"/>
  <c r="J36" i="9"/>
  <c r="L36" i="9"/>
  <c r="J44" i="9"/>
  <c r="L44" i="9"/>
  <c r="L66" i="8"/>
  <c r="J66" i="8"/>
  <c r="J80" i="8"/>
  <c r="L80" i="8"/>
  <c r="J51" i="12"/>
  <c r="L51" i="12"/>
  <c r="L75" i="12"/>
  <c r="J75" i="12"/>
  <c r="J86" i="12"/>
  <c r="L86" i="12"/>
  <c r="L108" i="12"/>
  <c r="J108" i="12"/>
  <c r="J131" i="12"/>
  <c r="L131" i="12"/>
  <c r="L30" i="10"/>
  <c r="J30" i="10"/>
  <c r="L38" i="10"/>
  <c r="J38" i="10"/>
  <c r="L54" i="10"/>
  <c r="J54" i="10"/>
  <c r="L69" i="5"/>
  <c r="J69" i="5"/>
  <c r="L86" i="5"/>
  <c r="J86" i="5"/>
  <c r="L111" i="5"/>
  <c r="J111" i="5"/>
  <c r="L119" i="5"/>
  <c r="J119" i="5"/>
  <c r="L143" i="5"/>
  <c r="J143" i="5"/>
  <c r="L13" i="14"/>
  <c r="J13" i="14"/>
  <c r="L67" i="4"/>
  <c r="J67" i="4"/>
  <c r="L63" i="17"/>
  <c r="J63" i="17"/>
  <c r="L71" i="17"/>
  <c r="J71" i="17"/>
  <c r="L88" i="17"/>
  <c r="J88" i="17"/>
  <c r="L96" i="17"/>
  <c r="J96" i="17"/>
  <c r="L113" i="17"/>
  <c r="J113" i="17"/>
  <c r="L129" i="17"/>
  <c r="J129" i="17"/>
  <c r="L10" i="18"/>
  <c r="J10" i="18"/>
  <c r="L42" i="18"/>
  <c r="J42" i="18"/>
  <c r="L58" i="18"/>
  <c r="J58" i="18"/>
  <c r="L135" i="18"/>
  <c r="J135" i="18"/>
  <c r="L9" i="6"/>
  <c r="J9" i="6"/>
  <c r="J8" i="9"/>
  <c r="L8" i="9"/>
  <c r="J24" i="9"/>
  <c r="L24" i="9"/>
  <c r="J40" i="9"/>
  <c r="L40" i="9"/>
  <c r="J56" i="9"/>
  <c r="L56" i="9"/>
  <c r="L82" i="9"/>
  <c r="J82" i="9"/>
  <c r="L98" i="9"/>
  <c r="J98" i="9"/>
  <c r="L115" i="9"/>
  <c r="J115" i="9"/>
  <c r="L123" i="9"/>
  <c r="J123" i="9"/>
  <c r="L4" i="8"/>
  <c r="J4" i="8"/>
  <c r="L12" i="8"/>
  <c r="J12" i="8"/>
  <c r="L20" i="8"/>
  <c r="J20" i="8"/>
  <c r="J5" i="3"/>
  <c r="J140" i="3"/>
  <c r="J2" i="2"/>
  <c r="J6" i="2"/>
  <c r="J10" i="2"/>
  <c r="L12" i="2"/>
  <c r="L16" i="2"/>
  <c r="J18" i="2"/>
  <c r="L20" i="2"/>
  <c r="J30" i="2"/>
  <c r="L32" i="2"/>
  <c r="J38" i="2"/>
  <c r="L40" i="2"/>
  <c r="J46" i="2"/>
  <c r="L48" i="2"/>
  <c r="J50" i="2"/>
  <c r="L52" i="2"/>
  <c r="J54" i="2"/>
  <c r="L56" i="2"/>
  <c r="J58" i="2"/>
  <c r="J135" i="2"/>
  <c r="J140" i="2"/>
  <c r="J10" i="12"/>
  <c r="L12" i="12"/>
  <c r="J14" i="12"/>
  <c r="L16" i="12"/>
  <c r="L20" i="12"/>
  <c r="J22" i="12"/>
  <c r="L24" i="12"/>
  <c r="L28" i="12"/>
  <c r="J34" i="12"/>
  <c r="L36" i="12"/>
  <c r="J46" i="12"/>
  <c r="J73" i="12"/>
  <c r="L73" i="12"/>
  <c r="L96" i="12"/>
  <c r="J96" i="12"/>
  <c r="J105" i="12"/>
  <c r="J106" i="12"/>
  <c r="L106" i="12"/>
  <c r="J2" i="10"/>
  <c r="L4" i="10"/>
  <c r="J10" i="10"/>
  <c r="L12" i="10"/>
  <c r="J14" i="10"/>
  <c r="L16" i="10"/>
  <c r="J22" i="10"/>
  <c r="L24" i="10"/>
  <c r="J26" i="10"/>
  <c r="L28" i="10"/>
  <c r="J36" i="10"/>
  <c r="L36" i="10"/>
  <c r="J61" i="10"/>
  <c r="J77" i="10"/>
  <c r="J86" i="10"/>
  <c r="J94" i="10"/>
  <c r="J119" i="10"/>
  <c r="J135" i="10"/>
  <c r="J143" i="10"/>
  <c r="J27" i="5"/>
  <c r="J43" i="5"/>
  <c r="L8" i="14"/>
  <c r="J8" i="14"/>
  <c r="L25" i="14"/>
  <c r="J25" i="14"/>
  <c r="L44" i="14"/>
  <c r="J44" i="14"/>
  <c r="L54" i="14"/>
  <c r="J56" i="14"/>
  <c r="J65" i="14"/>
  <c r="J72" i="14"/>
  <c r="J81" i="14"/>
  <c r="L104" i="14"/>
  <c r="J104" i="14"/>
  <c r="L121" i="14"/>
  <c r="J121" i="14"/>
  <c r="L137" i="14"/>
  <c r="J137" i="14"/>
  <c r="J5" i="7"/>
  <c r="J25" i="7"/>
  <c r="J45" i="7"/>
  <c r="J53" i="7"/>
  <c r="J119" i="7"/>
  <c r="L119" i="7"/>
  <c r="J9" i="4"/>
  <c r="L9" i="4"/>
  <c r="L15" i="4"/>
  <c r="J15" i="4"/>
  <c r="L92" i="4"/>
  <c r="J92" i="4"/>
  <c r="L125" i="4"/>
  <c r="J125" i="4"/>
  <c r="L4" i="17"/>
  <c r="J6" i="17"/>
  <c r="L20" i="17"/>
  <c r="J22" i="17"/>
  <c r="L36" i="17"/>
  <c r="J16" i="18"/>
  <c r="L16" i="18"/>
  <c r="L53" i="6"/>
  <c r="J53" i="6"/>
  <c r="J112" i="8"/>
  <c r="L112" i="8"/>
  <c r="J137" i="8"/>
  <c r="L137" i="8"/>
  <c r="L7" i="15"/>
  <c r="J7" i="15"/>
  <c r="L88" i="15"/>
  <c r="J88" i="15"/>
  <c r="J56" i="3"/>
  <c r="L137" i="3"/>
  <c r="J139" i="3"/>
  <c r="L141" i="3"/>
  <c r="J143" i="3"/>
  <c r="J115" i="2"/>
  <c r="J132" i="2"/>
  <c r="L4" i="12"/>
  <c r="L60" i="12"/>
  <c r="L61" i="12"/>
  <c r="J69" i="12"/>
  <c r="L69" i="12"/>
  <c r="L71" i="12"/>
  <c r="J71" i="12"/>
  <c r="J81" i="12"/>
  <c r="J82" i="12"/>
  <c r="L82" i="12"/>
  <c r="L88" i="12"/>
  <c r="J88" i="12"/>
  <c r="J97" i="12"/>
  <c r="J98" i="12"/>
  <c r="L98" i="12"/>
  <c r="L104" i="12"/>
  <c r="J104" i="12"/>
  <c r="L118" i="12"/>
  <c r="L119" i="12"/>
  <c r="L137" i="12"/>
  <c r="J137" i="12"/>
  <c r="J32" i="10"/>
  <c r="L32" i="10"/>
  <c r="J40" i="10"/>
  <c r="L40" i="10"/>
  <c r="J48" i="10"/>
  <c r="L48" i="10"/>
  <c r="J56" i="10"/>
  <c r="L56" i="10"/>
  <c r="J65" i="10"/>
  <c r="J73" i="10"/>
  <c r="J82" i="10"/>
  <c r="J90" i="10"/>
  <c r="J98" i="10"/>
  <c r="J106" i="10"/>
  <c r="J115" i="10"/>
  <c r="J123" i="10"/>
  <c r="J131" i="10"/>
  <c r="J139" i="10"/>
  <c r="J3" i="5"/>
  <c r="J19" i="5"/>
  <c r="J35" i="5"/>
  <c r="J51" i="5"/>
  <c r="J16" i="14"/>
  <c r="L17" i="14"/>
  <c r="J17" i="14"/>
  <c r="L34" i="14"/>
  <c r="J36" i="14"/>
  <c r="L48" i="14"/>
  <c r="J48" i="14"/>
  <c r="L68" i="14"/>
  <c r="J68" i="14"/>
  <c r="J74" i="14"/>
  <c r="L74" i="14"/>
  <c r="J75" i="14"/>
  <c r="L75" i="14"/>
  <c r="J83" i="14"/>
  <c r="L83" i="14"/>
  <c r="J84" i="14"/>
  <c r="L84" i="14"/>
  <c r="L108" i="14"/>
  <c r="J108" i="14"/>
  <c r="L117" i="14"/>
  <c r="J117" i="14"/>
  <c r="L125" i="14"/>
  <c r="J125" i="14"/>
  <c r="L133" i="14"/>
  <c r="J133" i="14"/>
  <c r="L141" i="14"/>
  <c r="J141" i="14"/>
  <c r="J33" i="7"/>
  <c r="J41" i="7"/>
  <c r="J49" i="7"/>
  <c r="J57" i="7"/>
  <c r="L80" i="7"/>
  <c r="J80" i="7"/>
  <c r="J113" i="7"/>
  <c r="J135" i="7"/>
  <c r="L137" i="7"/>
  <c r="L75" i="4"/>
  <c r="J75" i="4"/>
  <c r="L108" i="4"/>
  <c r="J108" i="4"/>
  <c r="L143" i="4"/>
  <c r="J143" i="4"/>
  <c r="J16" i="17"/>
  <c r="L16" i="17"/>
  <c r="J32" i="17"/>
  <c r="L32" i="17"/>
  <c r="J73" i="18"/>
  <c r="J106" i="18"/>
  <c r="L21" i="6"/>
  <c r="J21" i="6"/>
  <c r="L60" i="6"/>
  <c r="J60" i="6"/>
  <c r="J96" i="6"/>
  <c r="L108" i="6"/>
  <c r="J108" i="6"/>
  <c r="L2" i="9"/>
  <c r="J2" i="9"/>
  <c r="L10" i="9"/>
  <c r="J10" i="9"/>
  <c r="L18" i="9"/>
  <c r="J18" i="9"/>
  <c r="L26" i="9"/>
  <c r="J26" i="9"/>
  <c r="L34" i="9"/>
  <c r="J34" i="9"/>
  <c r="L42" i="9"/>
  <c r="J42" i="9"/>
  <c r="L62" i="8"/>
  <c r="J62" i="8"/>
  <c r="J85" i="8"/>
  <c r="L85" i="8"/>
  <c r="J128" i="7"/>
  <c r="L128" i="7"/>
  <c r="J129" i="7"/>
  <c r="L129" i="7"/>
  <c r="L143" i="7"/>
  <c r="J143" i="7"/>
  <c r="L7" i="4"/>
  <c r="J7" i="4"/>
  <c r="J133" i="4"/>
  <c r="L133" i="4"/>
  <c r="L67" i="17"/>
  <c r="J67" i="17"/>
  <c r="L75" i="17"/>
  <c r="J75" i="17"/>
  <c r="L84" i="17"/>
  <c r="J84" i="17"/>
  <c r="L92" i="17"/>
  <c r="J92" i="17"/>
  <c r="L100" i="17"/>
  <c r="J100" i="17"/>
  <c r="L108" i="17"/>
  <c r="J108" i="17"/>
  <c r="L117" i="17"/>
  <c r="J117" i="17"/>
  <c r="L125" i="17"/>
  <c r="J125" i="17"/>
  <c r="L133" i="17"/>
  <c r="J133" i="17"/>
  <c r="L141" i="17"/>
  <c r="J141" i="17"/>
  <c r="L6" i="18"/>
  <c r="J6" i="18"/>
  <c r="L14" i="18"/>
  <c r="J14" i="18"/>
  <c r="L22" i="18"/>
  <c r="J22" i="18"/>
  <c r="L30" i="18"/>
  <c r="J30" i="18"/>
  <c r="L38" i="18"/>
  <c r="J38" i="18"/>
  <c r="L46" i="18"/>
  <c r="J46" i="18"/>
  <c r="L54" i="18"/>
  <c r="J54" i="18"/>
  <c r="L141" i="18"/>
  <c r="J141" i="18"/>
  <c r="J62" i="6"/>
  <c r="L62" i="6"/>
  <c r="L69" i="6"/>
  <c r="J69" i="6"/>
  <c r="L77" i="6"/>
  <c r="J77" i="6"/>
  <c r="L92" i="6"/>
  <c r="J92" i="6"/>
  <c r="L54" i="9"/>
  <c r="J54" i="9"/>
  <c r="L34" i="8"/>
  <c r="J34" i="8"/>
  <c r="L55" i="8"/>
  <c r="J55" i="8"/>
  <c r="J60" i="8"/>
  <c r="L60" i="8"/>
  <c r="J87" i="8"/>
  <c r="L87" i="8"/>
  <c r="L113" i="13"/>
  <c r="J113" i="13"/>
  <c r="L125" i="13"/>
  <c r="J125" i="13"/>
  <c r="J2" i="5"/>
  <c r="L4" i="5"/>
  <c r="J6" i="5"/>
  <c r="L8" i="5"/>
  <c r="J10" i="5"/>
  <c r="L12" i="5"/>
  <c r="J14" i="5"/>
  <c r="L16" i="5"/>
  <c r="J18" i="5"/>
  <c r="L20" i="5"/>
  <c r="J22" i="5"/>
  <c r="L24" i="5"/>
  <c r="J26" i="5"/>
  <c r="L28" i="5"/>
  <c r="J30" i="5"/>
  <c r="L32" i="5"/>
  <c r="J34" i="5"/>
  <c r="L36" i="5"/>
  <c r="J38" i="5"/>
  <c r="L40" i="5"/>
  <c r="J42" i="5"/>
  <c r="L44" i="5"/>
  <c r="J46" i="5"/>
  <c r="L48" i="5"/>
  <c r="J50" i="5"/>
  <c r="L52" i="5"/>
  <c r="J54" i="5"/>
  <c r="L56" i="5"/>
  <c r="J58" i="5"/>
  <c r="J64" i="14"/>
  <c r="L88" i="14"/>
  <c r="J75" i="7"/>
  <c r="J92" i="7"/>
  <c r="J108" i="7"/>
  <c r="L115" i="7"/>
  <c r="J127" i="7"/>
  <c r="J141" i="7"/>
  <c r="J5" i="4"/>
  <c r="L5" i="4"/>
  <c r="L11" i="4"/>
  <c r="J11" i="4"/>
  <c r="J20" i="4"/>
  <c r="J36" i="4"/>
  <c r="J52" i="4"/>
  <c r="J131" i="4"/>
  <c r="L12" i="17"/>
  <c r="J14" i="17"/>
  <c r="L28" i="17"/>
  <c r="J30" i="17"/>
  <c r="J4" i="18"/>
  <c r="L4" i="18"/>
  <c r="J12" i="18"/>
  <c r="L12" i="18"/>
  <c r="J20" i="18"/>
  <c r="L20" i="18"/>
  <c r="J28" i="18"/>
  <c r="L28" i="18"/>
  <c r="J36" i="18"/>
  <c r="L36" i="18"/>
  <c r="J44" i="18"/>
  <c r="L44" i="18"/>
  <c r="J52" i="18"/>
  <c r="L52" i="18"/>
  <c r="J61" i="18"/>
  <c r="J69" i="18"/>
  <c r="J77" i="18"/>
  <c r="J86" i="18"/>
  <c r="J94" i="18"/>
  <c r="J102" i="18"/>
  <c r="J111" i="18"/>
  <c r="J119" i="18"/>
  <c r="J127" i="18"/>
  <c r="L141" i="6"/>
  <c r="J141" i="6"/>
  <c r="J74" i="8"/>
  <c r="L74" i="8"/>
  <c r="J75" i="8"/>
  <c r="L75" i="8"/>
  <c r="J81" i="8"/>
  <c r="L81" i="8"/>
  <c r="L139" i="8"/>
  <c r="J139" i="8"/>
  <c r="L12" i="15"/>
  <c r="J12" i="15"/>
  <c r="L18" i="15"/>
  <c r="J18" i="15"/>
  <c r="L44" i="15"/>
  <c r="J44" i="15"/>
  <c r="L55" i="15"/>
  <c r="J55" i="15"/>
  <c r="J73" i="15"/>
  <c r="L73" i="15"/>
  <c r="L92" i="15"/>
  <c r="J92" i="15"/>
  <c r="L104" i="15"/>
  <c r="J104" i="15"/>
  <c r="L130" i="15"/>
  <c r="J130" i="15"/>
  <c r="J7" i="13"/>
  <c r="L7" i="13"/>
  <c r="J19" i="13"/>
  <c r="L19" i="13"/>
  <c r="J39" i="13"/>
  <c r="L39" i="13"/>
  <c r="J51" i="13"/>
  <c r="L51" i="13"/>
  <c r="L80" i="13"/>
  <c r="J80" i="13"/>
  <c r="J100" i="13"/>
  <c r="J52" i="9"/>
  <c r="L52" i="9"/>
  <c r="L61" i="9"/>
  <c r="J61" i="9"/>
  <c r="L69" i="9"/>
  <c r="J69" i="9"/>
  <c r="L77" i="9"/>
  <c r="J77" i="9"/>
  <c r="L86" i="9"/>
  <c r="J86" i="9"/>
  <c r="L94" i="9"/>
  <c r="J94" i="9"/>
  <c r="L102" i="9"/>
  <c r="J102" i="9"/>
  <c r="L111" i="9"/>
  <c r="J111" i="9"/>
  <c r="L119" i="9"/>
  <c r="J119" i="9"/>
  <c r="L127" i="9"/>
  <c r="J127" i="9"/>
  <c r="L135" i="9"/>
  <c r="J135" i="9"/>
  <c r="L143" i="9"/>
  <c r="J143" i="9"/>
  <c r="L8" i="8"/>
  <c r="J8" i="8"/>
  <c r="L16" i="8"/>
  <c r="J16" i="8"/>
  <c r="L24" i="8"/>
  <c r="J24" i="8"/>
  <c r="J63" i="8"/>
  <c r="L63" i="8"/>
  <c r="L106" i="8"/>
  <c r="J106" i="8"/>
  <c r="J124" i="8"/>
  <c r="L124" i="8"/>
  <c r="J144" i="8"/>
  <c r="L144" i="8"/>
  <c r="L2" i="15"/>
  <c r="J2" i="15"/>
  <c r="L28" i="15"/>
  <c r="J28" i="15"/>
  <c r="L34" i="15"/>
  <c r="J34" i="15"/>
  <c r="L78" i="15"/>
  <c r="J78" i="15"/>
  <c r="L83" i="15"/>
  <c r="J83" i="15"/>
  <c r="J3" i="13"/>
  <c r="L3" i="13"/>
  <c r="J23" i="13"/>
  <c r="L23" i="13"/>
  <c r="J35" i="13"/>
  <c r="L35" i="13"/>
  <c r="J55" i="13"/>
  <c r="L55" i="13"/>
  <c r="L63" i="13"/>
  <c r="J63" i="13"/>
  <c r="L96" i="13"/>
  <c r="J96" i="13"/>
  <c r="L17" i="4"/>
  <c r="J19" i="4"/>
  <c r="L21" i="4"/>
  <c r="J23" i="4"/>
  <c r="L25" i="4"/>
  <c r="J27" i="4"/>
  <c r="L29" i="4"/>
  <c r="J31" i="4"/>
  <c r="L33" i="4"/>
  <c r="J35" i="4"/>
  <c r="L37" i="4"/>
  <c r="J39" i="4"/>
  <c r="L41" i="4"/>
  <c r="J43" i="4"/>
  <c r="L45" i="4"/>
  <c r="J47" i="4"/>
  <c r="L49" i="4"/>
  <c r="J51" i="4"/>
  <c r="L53" i="4"/>
  <c r="J55" i="4"/>
  <c r="L57" i="4"/>
  <c r="J59" i="4"/>
  <c r="J127" i="4"/>
  <c r="J143" i="18"/>
  <c r="L2" i="6"/>
  <c r="J4" i="6"/>
  <c r="L6" i="6"/>
  <c r="J8" i="6"/>
  <c r="L10" i="6"/>
  <c r="J12" i="6"/>
  <c r="L14" i="6"/>
  <c r="J16" i="6"/>
  <c r="L18" i="6"/>
  <c r="L50" i="9"/>
  <c r="J50" i="9"/>
  <c r="L58" i="9"/>
  <c r="J58" i="9"/>
  <c r="J99" i="8"/>
  <c r="L99" i="8"/>
  <c r="J103" i="8"/>
  <c r="L103" i="8"/>
  <c r="J104" i="8"/>
  <c r="L104" i="8"/>
  <c r="J116" i="8"/>
  <c r="L116" i="8"/>
  <c r="L131" i="8"/>
  <c r="J131" i="8"/>
  <c r="L11" i="15"/>
  <c r="J11" i="15"/>
  <c r="L23" i="15"/>
  <c r="J23" i="15"/>
  <c r="L43" i="15"/>
  <c r="J43" i="15"/>
  <c r="L59" i="15"/>
  <c r="J59" i="15"/>
  <c r="J69" i="15"/>
  <c r="L69" i="15"/>
  <c r="J84" i="13"/>
  <c r="J117" i="13"/>
  <c r="L3" i="15"/>
  <c r="J3" i="15"/>
  <c r="L19" i="15"/>
  <c r="J19" i="15"/>
  <c r="L35" i="15"/>
  <c r="J35" i="15"/>
  <c r="L51" i="15"/>
  <c r="J51" i="15"/>
  <c r="L74" i="15"/>
  <c r="J74" i="15"/>
  <c r="L84" i="15"/>
  <c r="J84" i="15"/>
  <c r="L117" i="15"/>
  <c r="J117" i="15"/>
  <c r="L140" i="15"/>
  <c r="J140" i="15"/>
  <c r="L133" i="13"/>
  <c r="J133" i="13"/>
  <c r="J30" i="8"/>
  <c r="L48" i="8"/>
  <c r="J50" i="8"/>
  <c r="J57" i="8"/>
  <c r="L58" i="8"/>
  <c r="J58" i="8"/>
  <c r="L76" i="8"/>
  <c r="L100" i="8"/>
  <c r="J102" i="8"/>
  <c r="J119" i="8"/>
  <c r="L125" i="8"/>
  <c r="J127" i="8"/>
  <c r="J14" i="15"/>
  <c r="L15" i="15"/>
  <c r="J15" i="15"/>
  <c r="J30" i="15"/>
  <c r="L31" i="15"/>
  <c r="J31" i="15"/>
  <c r="J46" i="15"/>
  <c r="L47" i="15"/>
  <c r="J47" i="15"/>
  <c r="L64" i="15"/>
  <c r="J64" i="15"/>
  <c r="L71" i="15"/>
  <c r="J71" i="15"/>
  <c r="J81" i="15"/>
  <c r="J96" i="15"/>
  <c r="L101" i="15"/>
  <c r="J101" i="15"/>
  <c r="L116" i="15"/>
  <c r="J116" i="15"/>
  <c r="J136" i="15"/>
  <c r="J137" i="15"/>
  <c r="J138" i="15"/>
  <c r="L138" i="15"/>
  <c r="J75" i="13"/>
  <c r="J92" i="13"/>
  <c r="J108" i="13"/>
  <c r="J121" i="13"/>
  <c r="J131" i="13"/>
  <c r="L139" i="13"/>
  <c r="J139" i="13"/>
  <c r="J127" i="13"/>
  <c r="K133" i="13"/>
  <c r="M133" i="13"/>
  <c r="M4" i="13"/>
  <c r="J5" i="13"/>
  <c r="M8" i="13"/>
  <c r="J9" i="13"/>
  <c r="M12" i="13"/>
  <c r="J13" i="13"/>
  <c r="M16" i="13"/>
  <c r="J17" i="13"/>
  <c r="M20" i="13"/>
  <c r="J21" i="13"/>
  <c r="M24" i="13"/>
  <c r="J25" i="13"/>
  <c r="M28" i="13"/>
  <c r="J29" i="13"/>
  <c r="M32" i="13"/>
  <c r="J33" i="13"/>
  <c r="M36" i="13"/>
  <c r="J37" i="13"/>
  <c r="M40" i="13"/>
  <c r="J41" i="13"/>
  <c r="M44" i="13"/>
  <c r="J45" i="13"/>
  <c r="M48" i="13"/>
  <c r="J49" i="13"/>
  <c r="M52" i="13"/>
  <c r="J53" i="13"/>
  <c r="M56" i="13"/>
  <c r="J57" i="13"/>
  <c r="K60" i="13"/>
  <c r="M61" i="13"/>
  <c r="K61" i="13"/>
  <c r="L64" i="13"/>
  <c r="J64" i="13"/>
  <c r="M65" i="13"/>
  <c r="K65" i="13"/>
  <c r="L68" i="13"/>
  <c r="J68" i="13"/>
  <c r="M69" i="13"/>
  <c r="K69" i="13"/>
  <c r="L72" i="13"/>
  <c r="J72" i="13"/>
  <c r="L76" i="13"/>
  <c r="J76" i="13"/>
  <c r="L81" i="13"/>
  <c r="J81" i="13"/>
  <c r="L85" i="13"/>
  <c r="J85" i="13"/>
  <c r="L89" i="13"/>
  <c r="J89" i="13"/>
  <c r="L93" i="13"/>
  <c r="J93" i="13"/>
  <c r="L97" i="13"/>
  <c r="J97" i="13"/>
  <c r="L101" i="13"/>
  <c r="J101" i="13"/>
  <c r="L105" i="13"/>
  <c r="J105" i="13"/>
  <c r="L110" i="13"/>
  <c r="J110" i="13"/>
  <c r="L114" i="13"/>
  <c r="J114" i="13"/>
  <c r="L118" i="13"/>
  <c r="J118" i="13"/>
  <c r="L122" i="13"/>
  <c r="J122" i="13"/>
  <c r="L126" i="13"/>
  <c r="J126" i="13"/>
  <c r="K129" i="13"/>
  <c r="M129" i="13"/>
  <c r="L138" i="13"/>
  <c r="J138" i="13"/>
  <c r="L60" i="13"/>
  <c r="L134" i="13"/>
  <c r="J134" i="13"/>
  <c r="K141" i="13"/>
  <c r="M141" i="13"/>
  <c r="L142" i="13"/>
  <c r="J142" i="13"/>
  <c r="J62" i="13"/>
  <c r="L62" i="13"/>
  <c r="K63" i="13"/>
  <c r="M63" i="13"/>
  <c r="J66" i="13"/>
  <c r="L66" i="13"/>
  <c r="K67" i="13"/>
  <c r="M67" i="13"/>
  <c r="J70" i="13"/>
  <c r="L70" i="13"/>
  <c r="K71" i="13"/>
  <c r="M71" i="13"/>
  <c r="K75" i="13"/>
  <c r="M75" i="13"/>
  <c r="K80" i="13"/>
  <c r="M80" i="13"/>
  <c r="K84" i="13"/>
  <c r="M84" i="13"/>
  <c r="K88" i="13"/>
  <c r="M88" i="13"/>
  <c r="K92" i="13"/>
  <c r="M92" i="13"/>
  <c r="K96" i="13"/>
  <c r="M96" i="13"/>
  <c r="K100" i="13"/>
  <c r="M100" i="13"/>
  <c r="K104" i="13"/>
  <c r="M104" i="13"/>
  <c r="K108" i="13"/>
  <c r="M108" i="13"/>
  <c r="K113" i="13"/>
  <c r="M113" i="13"/>
  <c r="K117" i="13"/>
  <c r="M117" i="13"/>
  <c r="K121" i="13"/>
  <c r="M121" i="13"/>
  <c r="K125" i="13"/>
  <c r="M125" i="13"/>
  <c r="L130" i="13"/>
  <c r="J130" i="13"/>
  <c r="K137" i="13"/>
  <c r="M137" i="13"/>
  <c r="K73" i="13"/>
  <c r="L74" i="13"/>
  <c r="K77" i="13"/>
  <c r="L78" i="13"/>
  <c r="K82" i="13"/>
  <c r="L83" i="13"/>
  <c r="K86" i="13"/>
  <c r="L87" i="13"/>
  <c r="K90" i="13"/>
  <c r="L91" i="13"/>
  <c r="K94" i="13"/>
  <c r="L95" i="13"/>
  <c r="K98" i="13"/>
  <c r="L99" i="13"/>
  <c r="K102" i="13"/>
  <c r="L103" i="13"/>
  <c r="K106" i="13"/>
  <c r="L107" i="13"/>
  <c r="K111" i="13"/>
  <c r="L112" i="13"/>
  <c r="K115" i="13"/>
  <c r="L116" i="13"/>
  <c r="K119" i="13"/>
  <c r="L120" i="13"/>
  <c r="K123" i="13"/>
  <c r="L124" i="13"/>
  <c r="K127" i="13"/>
  <c r="L128" i="13"/>
  <c r="K131" i="13"/>
  <c r="L132" i="13"/>
  <c r="K135" i="13"/>
  <c r="L136" i="13"/>
  <c r="K139" i="13"/>
  <c r="L140" i="13"/>
  <c r="K143" i="13"/>
  <c r="L144" i="13"/>
  <c r="M4" i="15"/>
  <c r="J5" i="15"/>
  <c r="M8" i="15"/>
  <c r="J9" i="15"/>
  <c r="M12" i="15"/>
  <c r="J13" i="15"/>
  <c r="M16" i="15"/>
  <c r="J17" i="15"/>
  <c r="M20" i="15"/>
  <c r="J21" i="15"/>
  <c r="M24" i="15"/>
  <c r="J25" i="15"/>
  <c r="M28" i="15"/>
  <c r="J29" i="15"/>
  <c r="M32" i="15"/>
  <c r="J33" i="15"/>
  <c r="M36" i="15"/>
  <c r="J37" i="15"/>
  <c r="M40" i="15"/>
  <c r="J41" i="15"/>
  <c r="M44" i="15"/>
  <c r="J45" i="15"/>
  <c r="M48" i="15"/>
  <c r="J49" i="15"/>
  <c r="M52" i="15"/>
  <c r="J53" i="15"/>
  <c r="M56" i="15"/>
  <c r="J57" i="15"/>
  <c r="J62" i="15"/>
  <c r="J66" i="15"/>
  <c r="J70" i="15"/>
  <c r="K76" i="15"/>
  <c r="M76" i="15"/>
  <c r="K60" i="15"/>
  <c r="K64" i="15"/>
  <c r="K68" i="15"/>
  <c r="K72" i="15"/>
  <c r="M62" i="15"/>
  <c r="M66" i="15"/>
  <c r="M70" i="15"/>
  <c r="J77" i="15"/>
  <c r="M81" i="15"/>
  <c r="J82" i="15"/>
  <c r="M85" i="15"/>
  <c r="J86" i="15"/>
  <c r="M89" i="15"/>
  <c r="J90" i="15"/>
  <c r="M93" i="15"/>
  <c r="J94" i="15"/>
  <c r="M97" i="15"/>
  <c r="J98" i="15"/>
  <c r="M101" i="15"/>
  <c r="J102" i="15"/>
  <c r="M105" i="15"/>
  <c r="J106" i="15"/>
  <c r="M110" i="15"/>
  <c r="J111" i="15"/>
  <c r="K112" i="15"/>
  <c r="M114" i="15"/>
  <c r="J115" i="15"/>
  <c r="K116" i="15"/>
  <c r="M118" i="15"/>
  <c r="J119" i="15"/>
  <c r="K120" i="15"/>
  <c r="M122" i="15"/>
  <c r="J123" i="15"/>
  <c r="M126" i="15"/>
  <c r="J127" i="15"/>
  <c r="K128" i="15"/>
  <c r="L129" i="15"/>
  <c r="M130" i="15"/>
  <c r="J131" i="15"/>
  <c r="K132" i="15"/>
  <c r="L133" i="15"/>
  <c r="M134" i="15"/>
  <c r="J135" i="15"/>
  <c r="K136" i="15"/>
  <c r="M138" i="15"/>
  <c r="J139" i="15"/>
  <c r="M142" i="15"/>
  <c r="J143" i="15"/>
  <c r="K144" i="15"/>
  <c r="K82" i="15"/>
  <c r="K94" i="15"/>
  <c r="K98" i="15"/>
  <c r="K102" i="15"/>
  <c r="L103" i="15"/>
  <c r="K106" i="15"/>
  <c r="K111" i="15"/>
  <c r="K2" i="8"/>
  <c r="L3" i="8"/>
  <c r="M4" i="8"/>
  <c r="J5" i="8"/>
  <c r="K6" i="8"/>
  <c r="L7" i="8"/>
  <c r="M8" i="8"/>
  <c r="J9" i="8"/>
  <c r="K10" i="8"/>
  <c r="L11" i="8"/>
  <c r="M12" i="8"/>
  <c r="J13" i="8"/>
  <c r="K14" i="8"/>
  <c r="L15" i="8"/>
  <c r="M16" i="8"/>
  <c r="J17" i="8"/>
  <c r="K18" i="8"/>
  <c r="L19" i="8"/>
  <c r="M20" i="8"/>
  <c r="J21" i="8"/>
  <c r="K22" i="8"/>
  <c r="L23" i="8"/>
  <c r="M24" i="8"/>
  <c r="J25" i="8"/>
  <c r="K26" i="8"/>
  <c r="L27" i="8"/>
  <c r="M28" i="8"/>
  <c r="J29" i="8"/>
  <c r="K30" i="8"/>
  <c r="L31" i="8"/>
  <c r="M32" i="8"/>
  <c r="J33" i="8"/>
  <c r="K34" i="8"/>
  <c r="L35" i="8"/>
  <c r="M36" i="8"/>
  <c r="J37" i="8"/>
  <c r="K38" i="8"/>
  <c r="L39" i="8"/>
  <c r="M40" i="8"/>
  <c r="J41" i="8"/>
  <c r="L44" i="8"/>
  <c r="M48" i="8"/>
  <c r="J49" i="8"/>
  <c r="K51" i="8"/>
  <c r="M60" i="8"/>
  <c r="J61" i="8"/>
  <c r="L64" i="8"/>
  <c r="L68" i="8"/>
  <c r="K71" i="8"/>
  <c r="M76" i="8"/>
  <c r="J77" i="8"/>
  <c r="K80" i="8"/>
  <c r="M85" i="8"/>
  <c r="J86" i="8"/>
  <c r="K88" i="8"/>
  <c r="K113" i="8"/>
  <c r="M113" i="8"/>
  <c r="K117" i="8"/>
  <c r="M117" i="8"/>
  <c r="K121" i="8"/>
  <c r="M121" i="8"/>
  <c r="K129" i="8"/>
  <c r="M129" i="8"/>
  <c r="K133" i="8"/>
  <c r="M133" i="8"/>
  <c r="K141" i="8"/>
  <c r="M141" i="8"/>
  <c r="M45" i="8"/>
  <c r="L126" i="8"/>
  <c r="J126" i="8"/>
  <c r="L138" i="8"/>
  <c r="J138" i="8"/>
  <c r="K55" i="8"/>
  <c r="M64" i="8"/>
  <c r="J65" i="8"/>
  <c r="M68" i="8"/>
  <c r="J69" i="8"/>
  <c r="K96" i="8"/>
  <c r="M96" i="8"/>
  <c r="K100" i="8"/>
  <c r="M100" i="8"/>
  <c r="K104" i="8"/>
  <c r="M104" i="8"/>
  <c r="K108" i="8"/>
  <c r="M108" i="8"/>
  <c r="L114" i="8"/>
  <c r="J114" i="8"/>
  <c r="L118" i="8"/>
  <c r="J118" i="8"/>
  <c r="L122" i="8"/>
  <c r="J122" i="8"/>
  <c r="L130" i="8"/>
  <c r="J130" i="8"/>
  <c r="L134" i="8"/>
  <c r="J134" i="8"/>
  <c r="L142" i="8"/>
  <c r="J142" i="8"/>
  <c r="K43" i="8"/>
  <c r="K47" i="8"/>
  <c r="M52" i="8"/>
  <c r="J53" i="8"/>
  <c r="L56" i="8"/>
  <c r="K59" i="8"/>
  <c r="M72" i="8"/>
  <c r="J73" i="8"/>
  <c r="M81" i="8"/>
  <c r="J82" i="8"/>
  <c r="M89" i="8"/>
  <c r="L93" i="8"/>
  <c r="J93" i="8"/>
  <c r="L97" i="8"/>
  <c r="J97" i="8"/>
  <c r="L101" i="8"/>
  <c r="J101" i="8"/>
  <c r="L105" i="8"/>
  <c r="J105" i="8"/>
  <c r="L110" i="8"/>
  <c r="J110" i="8"/>
  <c r="K125" i="8"/>
  <c r="M125" i="8"/>
  <c r="K137" i="8"/>
  <c r="M137" i="8"/>
  <c r="M4" i="9"/>
  <c r="J5" i="9"/>
  <c r="M8" i="9"/>
  <c r="J9" i="9"/>
  <c r="M12" i="9"/>
  <c r="J13" i="9"/>
  <c r="M16" i="9"/>
  <c r="J17" i="9"/>
  <c r="M20" i="9"/>
  <c r="J21" i="9"/>
  <c r="M24" i="9"/>
  <c r="J25" i="9"/>
  <c r="M28" i="9"/>
  <c r="J29" i="9"/>
  <c r="M32" i="9"/>
  <c r="J33" i="9"/>
  <c r="M36" i="9"/>
  <c r="J37" i="9"/>
  <c r="M40" i="9"/>
  <c r="J41" i="9"/>
  <c r="M44" i="9"/>
  <c r="J45" i="9"/>
  <c r="M48" i="9"/>
  <c r="J49" i="9"/>
  <c r="M52" i="9"/>
  <c r="J53" i="9"/>
  <c r="M56" i="9"/>
  <c r="J57" i="9"/>
  <c r="M61" i="9"/>
  <c r="K61" i="9"/>
  <c r="L64" i="9"/>
  <c r="J64" i="9"/>
  <c r="M65" i="9"/>
  <c r="K65" i="9"/>
  <c r="L68" i="9"/>
  <c r="J68" i="9"/>
  <c r="M69" i="9"/>
  <c r="K69" i="9"/>
  <c r="L72" i="9"/>
  <c r="J72" i="9"/>
  <c r="M73" i="9"/>
  <c r="K73" i="9"/>
  <c r="L76" i="9"/>
  <c r="J76" i="9"/>
  <c r="L81" i="9"/>
  <c r="J81" i="9"/>
  <c r="L85" i="9"/>
  <c r="J85" i="9"/>
  <c r="L89" i="9"/>
  <c r="J89" i="9"/>
  <c r="L93" i="9"/>
  <c r="J93" i="9"/>
  <c r="L97" i="9"/>
  <c r="J97" i="9"/>
  <c r="L101" i="9"/>
  <c r="J101" i="9"/>
  <c r="L105" i="9"/>
  <c r="J105" i="9"/>
  <c r="L110" i="9"/>
  <c r="J110" i="9"/>
  <c r="L114" i="9"/>
  <c r="J114" i="9"/>
  <c r="L118" i="9"/>
  <c r="J118" i="9"/>
  <c r="L122" i="9"/>
  <c r="J122" i="9"/>
  <c r="L126" i="9"/>
  <c r="J126" i="9"/>
  <c r="L130" i="9"/>
  <c r="J130" i="9"/>
  <c r="L134" i="9"/>
  <c r="J134" i="9"/>
  <c r="L138" i="9"/>
  <c r="J138" i="9"/>
  <c r="L142" i="9"/>
  <c r="J142" i="9"/>
  <c r="L60" i="9"/>
  <c r="J62" i="9"/>
  <c r="L62" i="9"/>
  <c r="K63" i="9"/>
  <c r="M63" i="9"/>
  <c r="J66" i="9"/>
  <c r="L66" i="9"/>
  <c r="K67" i="9"/>
  <c r="M67" i="9"/>
  <c r="J70" i="9"/>
  <c r="L70" i="9"/>
  <c r="K71" i="9"/>
  <c r="M71" i="9"/>
  <c r="J74" i="9"/>
  <c r="L74" i="9"/>
  <c r="K75" i="9"/>
  <c r="M75" i="9"/>
  <c r="K80" i="9"/>
  <c r="M80" i="9"/>
  <c r="K84" i="9"/>
  <c r="M84" i="9"/>
  <c r="K88" i="9"/>
  <c r="M88" i="9"/>
  <c r="K92" i="9"/>
  <c r="M92" i="9"/>
  <c r="K96" i="9"/>
  <c r="M96" i="9"/>
  <c r="K100" i="9"/>
  <c r="M100" i="9"/>
  <c r="K104" i="9"/>
  <c r="M104" i="9"/>
  <c r="K108" i="9"/>
  <c r="M108" i="9"/>
  <c r="K113" i="9"/>
  <c r="M113" i="9"/>
  <c r="K117" i="9"/>
  <c r="M117" i="9"/>
  <c r="K121" i="9"/>
  <c r="M121" i="9"/>
  <c r="K125" i="9"/>
  <c r="M125" i="9"/>
  <c r="K129" i="9"/>
  <c r="M129" i="9"/>
  <c r="K133" i="9"/>
  <c r="M133" i="9"/>
  <c r="K137" i="9"/>
  <c r="M137" i="9"/>
  <c r="K141" i="9"/>
  <c r="M141" i="9"/>
  <c r="K77" i="9"/>
  <c r="L78" i="9"/>
  <c r="K82" i="9"/>
  <c r="L83" i="9"/>
  <c r="K86" i="9"/>
  <c r="L87" i="9"/>
  <c r="K90" i="9"/>
  <c r="L91" i="9"/>
  <c r="K94" i="9"/>
  <c r="L95" i="9"/>
  <c r="K98" i="9"/>
  <c r="L99" i="9"/>
  <c r="K102" i="9"/>
  <c r="L103" i="9"/>
  <c r="K106" i="9"/>
  <c r="L107" i="9"/>
  <c r="K111" i="9"/>
  <c r="L112" i="9"/>
  <c r="K115" i="9"/>
  <c r="L116" i="9"/>
  <c r="K119" i="9"/>
  <c r="L120" i="9"/>
  <c r="K123" i="9"/>
  <c r="L124" i="9"/>
  <c r="K127" i="9"/>
  <c r="L128" i="9"/>
  <c r="K131" i="9"/>
  <c r="L132" i="9"/>
  <c r="K135" i="9"/>
  <c r="L136" i="9"/>
  <c r="K139" i="9"/>
  <c r="L140" i="9"/>
  <c r="K143" i="9"/>
  <c r="L144" i="9"/>
  <c r="M2" i="6"/>
  <c r="J3" i="6"/>
  <c r="M6" i="6"/>
  <c r="J7" i="6"/>
  <c r="M10" i="6"/>
  <c r="J11" i="6"/>
  <c r="M14" i="6"/>
  <c r="J15" i="6"/>
  <c r="M18" i="6"/>
  <c r="J19" i="6"/>
  <c r="M22" i="6"/>
  <c r="J23" i="6"/>
  <c r="M26" i="6"/>
  <c r="J27" i="6"/>
  <c r="M30" i="6"/>
  <c r="J31" i="6"/>
  <c r="M34" i="6"/>
  <c r="J35" i="6"/>
  <c r="M38" i="6"/>
  <c r="J39" i="6"/>
  <c r="M42" i="6"/>
  <c r="J43" i="6"/>
  <c r="M46" i="6"/>
  <c r="J47" i="6"/>
  <c r="M50" i="6"/>
  <c r="J51" i="6"/>
  <c r="M54" i="6"/>
  <c r="J55" i="6"/>
  <c r="M58" i="6"/>
  <c r="J59" i="6"/>
  <c r="J63" i="6"/>
  <c r="J67" i="6"/>
  <c r="L72" i="6"/>
  <c r="J72" i="6"/>
  <c r="M73" i="6"/>
  <c r="K73" i="6"/>
  <c r="L76" i="6"/>
  <c r="J76" i="6"/>
  <c r="M77" i="6"/>
  <c r="K77" i="6"/>
  <c r="L81" i="6"/>
  <c r="J81" i="6"/>
  <c r="L85" i="6"/>
  <c r="J85" i="6"/>
  <c r="L89" i="6"/>
  <c r="J89" i="6"/>
  <c r="L93" i="6"/>
  <c r="J93" i="6"/>
  <c r="L97" i="6"/>
  <c r="J97" i="6"/>
  <c r="L101" i="6"/>
  <c r="J101" i="6"/>
  <c r="L105" i="6"/>
  <c r="J105" i="6"/>
  <c r="L110" i="6"/>
  <c r="J110" i="6"/>
  <c r="L114" i="6"/>
  <c r="J114" i="6"/>
  <c r="L118" i="6"/>
  <c r="J118" i="6"/>
  <c r="L122" i="6"/>
  <c r="J122" i="6"/>
  <c r="L126" i="6"/>
  <c r="J126" i="6"/>
  <c r="L130" i="6"/>
  <c r="J130" i="6"/>
  <c r="L134" i="6"/>
  <c r="J134" i="6"/>
  <c r="L138" i="6"/>
  <c r="J138" i="6"/>
  <c r="L142" i="6"/>
  <c r="J142" i="6"/>
  <c r="K61" i="6"/>
  <c r="K65" i="6"/>
  <c r="K69" i="6"/>
  <c r="M59" i="6"/>
  <c r="M63" i="6"/>
  <c r="M67" i="6"/>
  <c r="K71" i="6"/>
  <c r="M71" i="6"/>
  <c r="J74" i="6"/>
  <c r="L74" i="6"/>
  <c r="K75" i="6"/>
  <c r="M75" i="6"/>
  <c r="K80" i="6"/>
  <c r="M80" i="6"/>
  <c r="K84" i="6"/>
  <c r="M84" i="6"/>
  <c r="K88" i="6"/>
  <c r="M88" i="6"/>
  <c r="K92" i="6"/>
  <c r="M92" i="6"/>
  <c r="K96" i="6"/>
  <c r="M96" i="6"/>
  <c r="K100" i="6"/>
  <c r="M100" i="6"/>
  <c r="K104" i="6"/>
  <c r="M104" i="6"/>
  <c r="K108" i="6"/>
  <c r="M108" i="6"/>
  <c r="K113" i="6"/>
  <c r="M113" i="6"/>
  <c r="K117" i="6"/>
  <c r="M117" i="6"/>
  <c r="K121" i="6"/>
  <c r="M121" i="6"/>
  <c r="K125" i="6"/>
  <c r="M125" i="6"/>
  <c r="K129" i="6"/>
  <c r="M129" i="6"/>
  <c r="K133" i="6"/>
  <c r="M133" i="6"/>
  <c r="K137" i="6"/>
  <c r="M137" i="6"/>
  <c r="K141" i="6"/>
  <c r="M141" i="6"/>
  <c r="L78" i="6"/>
  <c r="K82" i="6"/>
  <c r="L83" i="6"/>
  <c r="K86" i="6"/>
  <c r="L87" i="6"/>
  <c r="K90" i="6"/>
  <c r="L91" i="6"/>
  <c r="K94" i="6"/>
  <c r="L95" i="6"/>
  <c r="K98" i="6"/>
  <c r="L99" i="6"/>
  <c r="K102" i="6"/>
  <c r="L103" i="6"/>
  <c r="K106" i="6"/>
  <c r="L107" i="6"/>
  <c r="K111" i="6"/>
  <c r="L112" i="6"/>
  <c r="K115" i="6"/>
  <c r="L116" i="6"/>
  <c r="K119" i="6"/>
  <c r="L120" i="6"/>
  <c r="K123" i="6"/>
  <c r="L124" i="6"/>
  <c r="K127" i="6"/>
  <c r="L128" i="6"/>
  <c r="K131" i="6"/>
  <c r="L132" i="6"/>
  <c r="K135" i="6"/>
  <c r="L136" i="6"/>
  <c r="K139" i="6"/>
  <c r="L140" i="6"/>
  <c r="K143" i="6"/>
  <c r="L144" i="6"/>
  <c r="K133" i="18"/>
  <c r="M133" i="18"/>
  <c r="L142" i="18"/>
  <c r="J142" i="18"/>
  <c r="M4" i="18"/>
  <c r="J5" i="18"/>
  <c r="M8" i="18"/>
  <c r="J9" i="18"/>
  <c r="M12" i="18"/>
  <c r="J13" i="18"/>
  <c r="M16" i="18"/>
  <c r="J17" i="18"/>
  <c r="M20" i="18"/>
  <c r="J21" i="18"/>
  <c r="M24" i="18"/>
  <c r="J25" i="18"/>
  <c r="M28" i="18"/>
  <c r="J29" i="18"/>
  <c r="M32" i="18"/>
  <c r="J33" i="18"/>
  <c r="M36" i="18"/>
  <c r="J37" i="18"/>
  <c r="M40" i="18"/>
  <c r="J41" i="18"/>
  <c r="M44" i="18"/>
  <c r="J45" i="18"/>
  <c r="M48" i="18"/>
  <c r="J49" i="18"/>
  <c r="M52" i="18"/>
  <c r="J53" i="18"/>
  <c r="M56" i="18"/>
  <c r="J57" i="18"/>
  <c r="K60" i="18"/>
  <c r="M61" i="18"/>
  <c r="K61" i="18"/>
  <c r="L64" i="18"/>
  <c r="J64" i="18"/>
  <c r="M65" i="18"/>
  <c r="K65" i="18"/>
  <c r="L68" i="18"/>
  <c r="J68" i="18"/>
  <c r="M69" i="18"/>
  <c r="K69" i="18"/>
  <c r="L72" i="18"/>
  <c r="J72" i="18"/>
  <c r="L76" i="18"/>
  <c r="J76" i="18"/>
  <c r="L81" i="18"/>
  <c r="J81" i="18"/>
  <c r="L85" i="18"/>
  <c r="J85" i="18"/>
  <c r="L89" i="18"/>
  <c r="J89" i="18"/>
  <c r="L93" i="18"/>
  <c r="J93" i="18"/>
  <c r="L97" i="18"/>
  <c r="J97" i="18"/>
  <c r="L101" i="18"/>
  <c r="J101" i="18"/>
  <c r="L105" i="18"/>
  <c r="J105" i="18"/>
  <c r="L110" i="18"/>
  <c r="J110" i="18"/>
  <c r="L114" i="18"/>
  <c r="J114" i="18"/>
  <c r="L118" i="18"/>
  <c r="J118" i="18"/>
  <c r="L122" i="18"/>
  <c r="J122" i="18"/>
  <c r="L126" i="18"/>
  <c r="J126" i="18"/>
  <c r="K129" i="18"/>
  <c r="M129" i="18"/>
  <c r="L138" i="18"/>
  <c r="J138" i="18"/>
  <c r="L60" i="18"/>
  <c r="L134" i="18"/>
  <c r="J134" i="18"/>
  <c r="K141" i="18"/>
  <c r="M141" i="18"/>
  <c r="J62" i="18"/>
  <c r="L62" i="18"/>
  <c r="K63" i="18"/>
  <c r="M63" i="18"/>
  <c r="J66" i="18"/>
  <c r="L66" i="18"/>
  <c r="K67" i="18"/>
  <c r="M67" i="18"/>
  <c r="K71" i="18"/>
  <c r="M71" i="18"/>
  <c r="K75" i="18"/>
  <c r="M75" i="18"/>
  <c r="K80" i="18"/>
  <c r="M80" i="18"/>
  <c r="K84" i="18"/>
  <c r="M84" i="18"/>
  <c r="K88" i="18"/>
  <c r="M88" i="18"/>
  <c r="K92" i="18"/>
  <c r="M92" i="18"/>
  <c r="K96" i="18"/>
  <c r="M96" i="18"/>
  <c r="K100" i="18"/>
  <c r="M100" i="18"/>
  <c r="K104" i="18"/>
  <c r="M104" i="18"/>
  <c r="K108" i="18"/>
  <c r="M108" i="18"/>
  <c r="K113" i="18"/>
  <c r="M113" i="18"/>
  <c r="K117" i="18"/>
  <c r="M117" i="18"/>
  <c r="K121" i="18"/>
  <c r="M121" i="18"/>
  <c r="K125" i="18"/>
  <c r="M125" i="18"/>
  <c r="L130" i="18"/>
  <c r="J130" i="18"/>
  <c r="K137" i="18"/>
  <c r="M137" i="18"/>
  <c r="L70" i="18"/>
  <c r="K73" i="18"/>
  <c r="L74" i="18"/>
  <c r="K77" i="18"/>
  <c r="L78" i="18"/>
  <c r="K82" i="18"/>
  <c r="L83" i="18"/>
  <c r="K86" i="18"/>
  <c r="L87" i="18"/>
  <c r="K90" i="18"/>
  <c r="L91" i="18"/>
  <c r="K94" i="18"/>
  <c r="L95" i="18"/>
  <c r="K98" i="18"/>
  <c r="L99" i="18"/>
  <c r="K102" i="18"/>
  <c r="L103" i="18"/>
  <c r="K106" i="18"/>
  <c r="L107" i="18"/>
  <c r="K111" i="18"/>
  <c r="L112" i="18"/>
  <c r="K115" i="18"/>
  <c r="L116" i="18"/>
  <c r="K119" i="18"/>
  <c r="L120" i="18"/>
  <c r="K123" i="18"/>
  <c r="L124" i="18"/>
  <c r="K127" i="18"/>
  <c r="L128" i="18"/>
  <c r="K131" i="18"/>
  <c r="L132" i="18"/>
  <c r="K135" i="18"/>
  <c r="L136" i="18"/>
  <c r="K139" i="18"/>
  <c r="L140" i="18"/>
  <c r="K143" i="18"/>
  <c r="L144" i="18"/>
  <c r="M4" i="17"/>
  <c r="J5" i="17"/>
  <c r="M8" i="17"/>
  <c r="J9" i="17"/>
  <c r="M12" i="17"/>
  <c r="J13" i="17"/>
  <c r="M16" i="17"/>
  <c r="J17" i="17"/>
  <c r="M20" i="17"/>
  <c r="J21" i="17"/>
  <c r="M24" i="17"/>
  <c r="J25" i="17"/>
  <c r="M28" i="17"/>
  <c r="J29" i="17"/>
  <c r="M32" i="17"/>
  <c r="J33" i="17"/>
  <c r="M36" i="17"/>
  <c r="J37" i="17"/>
  <c r="M40" i="17"/>
  <c r="J41" i="17"/>
  <c r="M44" i="17"/>
  <c r="J45" i="17"/>
  <c r="M48" i="17"/>
  <c r="J49" i="17"/>
  <c r="M52" i="17"/>
  <c r="J53" i="17"/>
  <c r="M56" i="17"/>
  <c r="J57" i="17"/>
  <c r="K60" i="17"/>
  <c r="M61" i="17"/>
  <c r="K61" i="17"/>
  <c r="L64" i="17"/>
  <c r="J64" i="17"/>
  <c r="M65" i="17"/>
  <c r="K65" i="17"/>
  <c r="L68" i="17"/>
  <c r="J68" i="17"/>
  <c r="M69" i="17"/>
  <c r="K69" i="17"/>
  <c r="L72" i="17"/>
  <c r="J72" i="17"/>
  <c r="M73" i="17"/>
  <c r="K73" i="17"/>
  <c r="L76" i="17"/>
  <c r="J76" i="17"/>
  <c r="M77" i="17"/>
  <c r="K77" i="17"/>
  <c r="L81" i="17"/>
  <c r="J81" i="17"/>
  <c r="L85" i="17"/>
  <c r="J85" i="17"/>
  <c r="L89" i="17"/>
  <c r="J89" i="17"/>
  <c r="L93" i="17"/>
  <c r="J93" i="17"/>
  <c r="L97" i="17"/>
  <c r="J97" i="17"/>
  <c r="L101" i="17"/>
  <c r="J101" i="17"/>
  <c r="L105" i="17"/>
  <c r="J105" i="17"/>
  <c r="L110" i="17"/>
  <c r="J110" i="17"/>
  <c r="L114" i="17"/>
  <c r="J114" i="17"/>
  <c r="L118" i="17"/>
  <c r="J118" i="17"/>
  <c r="L122" i="17"/>
  <c r="J122" i="17"/>
  <c r="L126" i="17"/>
  <c r="J126" i="17"/>
  <c r="L130" i="17"/>
  <c r="J130" i="17"/>
  <c r="L134" i="17"/>
  <c r="J134" i="17"/>
  <c r="L138" i="17"/>
  <c r="J138" i="17"/>
  <c r="L142" i="17"/>
  <c r="J142" i="17"/>
  <c r="L60" i="17"/>
  <c r="J62" i="17"/>
  <c r="L62" i="17"/>
  <c r="K63" i="17"/>
  <c r="M63" i="17"/>
  <c r="J66" i="17"/>
  <c r="L66" i="17"/>
  <c r="K67" i="17"/>
  <c r="M67" i="17"/>
  <c r="J70" i="17"/>
  <c r="L70" i="17"/>
  <c r="K71" i="17"/>
  <c r="M71" i="17"/>
  <c r="J74" i="17"/>
  <c r="L74" i="17"/>
  <c r="K75" i="17"/>
  <c r="M75" i="17"/>
  <c r="K80" i="17"/>
  <c r="M80" i="17"/>
  <c r="K84" i="17"/>
  <c r="M84" i="17"/>
  <c r="K88" i="17"/>
  <c r="M88" i="17"/>
  <c r="K92" i="17"/>
  <c r="M92" i="17"/>
  <c r="K96" i="17"/>
  <c r="M96" i="17"/>
  <c r="K100" i="17"/>
  <c r="M100" i="17"/>
  <c r="K104" i="17"/>
  <c r="M104" i="17"/>
  <c r="K108" i="17"/>
  <c r="M108" i="17"/>
  <c r="K113" i="17"/>
  <c r="M113" i="17"/>
  <c r="K117" i="17"/>
  <c r="M117" i="17"/>
  <c r="K121" i="17"/>
  <c r="M121" i="17"/>
  <c r="K125" i="17"/>
  <c r="M125" i="17"/>
  <c r="K129" i="17"/>
  <c r="M129" i="17"/>
  <c r="K133" i="17"/>
  <c r="M133" i="17"/>
  <c r="K137" i="17"/>
  <c r="M137" i="17"/>
  <c r="K141" i="17"/>
  <c r="M141" i="17"/>
  <c r="L78" i="17"/>
  <c r="K82" i="17"/>
  <c r="L83" i="17"/>
  <c r="K86" i="17"/>
  <c r="L87" i="17"/>
  <c r="K90" i="17"/>
  <c r="L91" i="17"/>
  <c r="K94" i="17"/>
  <c r="L95" i="17"/>
  <c r="K98" i="17"/>
  <c r="L99" i="17"/>
  <c r="K102" i="17"/>
  <c r="L103" i="17"/>
  <c r="K106" i="17"/>
  <c r="L107" i="17"/>
  <c r="K111" i="17"/>
  <c r="L112" i="17"/>
  <c r="K115" i="17"/>
  <c r="L116" i="17"/>
  <c r="K119" i="17"/>
  <c r="L120" i="17"/>
  <c r="K123" i="17"/>
  <c r="L124" i="17"/>
  <c r="K127" i="17"/>
  <c r="L128" i="17"/>
  <c r="K131" i="17"/>
  <c r="L132" i="17"/>
  <c r="K135" i="17"/>
  <c r="L136" i="17"/>
  <c r="K139" i="17"/>
  <c r="L140" i="17"/>
  <c r="K143" i="17"/>
  <c r="L144" i="17"/>
  <c r="K133" i="4"/>
  <c r="M133" i="4"/>
  <c r="L142" i="4"/>
  <c r="J142" i="4"/>
  <c r="J2" i="4"/>
  <c r="M5" i="4"/>
  <c r="J6" i="4"/>
  <c r="M9" i="4"/>
  <c r="J10" i="4"/>
  <c r="M13" i="4"/>
  <c r="J14" i="4"/>
  <c r="M17" i="4"/>
  <c r="J18" i="4"/>
  <c r="M21" i="4"/>
  <c r="J22" i="4"/>
  <c r="M25" i="4"/>
  <c r="J26" i="4"/>
  <c r="M29" i="4"/>
  <c r="J30" i="4"/>
  <c r="M33" i="4"/>
  <c r="J34" i="4"/>
  <c r="M37" i="4"/>
  <c r="J38" i="4"/>
  <c r="M41" i="4"/>
  <c r="J42" i="4"/>
  <c r="M45" i="4"/>
  <c r="J46" i="4"/>
  <c r="M49" i="4"/>
  <c r="J50" i="4"/>
  <c r="M53" i="4"/>
  <c r="J54" i="4"/>
  <c r="M57" i="4"/>
  <c r="J58" i="4"/>
  <c r="L60" i="4"/>
  <c r="J60" i="4"/>
  <c r="M61" i="4"/>
  <c r="K61" i="4"/>
  <c r="L64" i="4"/>
  <c r="J64" i="4"/>
  <c r="M65" i="4"/>
  <c r="K65" i="4"/>
  <c r="L68" i="4"/>
  <c r="J68" i="4"/>
  <c r="L72" i="4"/>
  <c r="J72" i="4"/>
  <c r="L76" i="4"/>
  <c r="J76" i="4"/>
  <c r="L81" i="4"/>
  <c r="J81" i="4"/>
  <c r="L85" i="4"/>
  <c r="J85" i="4"/>
  <c r="L89" i="4"/>
  <c r="J89" i="4"/>
  <c r="L93" i="4"/>
  <c r="J93" i="4"/>
  <c r="L97" i="4"/>
  <c r="J97" i="4"/>
  <c r="L101" i="4"/>
  <c r="J101" i="4"/>
  <c r="L105" i="4"/>
  <c r="J105" i="4"/>
  <c r="L110" i="4"/>
  <c r="J110" i="4"/>
  <c r="L114" i="4"/>
  <c r="J114" i="4"/>
  <c r="L118" i="4"/>
  <c r="J118" i="4"/>
  <c r="L122" i="4"/>
  <c r="J122" i="4"/>
  <c r="L126" i="4"/>
  <c r="J126" i="4"/>
  <c r="K129" i="4"/>
  <c r="M129" i="4"/>
  <c r="L134" i="4"/>
  <c r="J134" i="4"/>
  <c r="L138" i="4"/>
  <c r="J138" i="4"/>
  <c r="K60" i="4"/>
  <c r="K137" i="4"/>
  <c r="M137" i="4"/>
  <c r="K141" i="4"/>
  <c r="M141" i="4"/>
  <c r="J62" i="4"/>
  <c r="L62" i="4"/>
  <c r="K63" i="4"/>
  <c r="M63" i="4"/>
  <c r="J66" i="4"/>
  <c r="L66" i="4"/>
  <c r="K67" i="4"/>
  <c r="M67" i="4"/>
  <c r="K71" i="4"/>
  <c r="M71" i="4"/>
  <c r="K75" i="4"/>
  <c r="M75" i="4"/>
  <c r="K80" i="4"/>
  <c r="M80" i="4"/>
  <c r="K84" i="4"/>
  <c r="M84" i="4"/>
  <c r="K88" i="4"/>
  <c r="M88" i="4"/>
  <c r="K92" i="4"/>
  <c r="M92" i="4"/>
  <c r="K96" i="4"/>
  <c r="M96" i="4"/>
  <c r="K100" i="4"/>
  <c r="M100" i="4"/>
  <c r="K104" i="4"/>
  <c r="M104" i="4"/>
  <c r="K108" i="4"/>
  <c r="M108" i="4"/>
  <c r="K113" i="4"/>
  <c r="M113" i="4"/>
  <c r="K117" i="4"/>
  <c r="M117" i="4"/>
  <c r="K121" i="4"/>
  <c r="M121" i="4"/>
  <c r="K125" i="4"/>
  <c r="M125" i="4"/>
  <c r="L130" i="4"/>
  <c r="J130" i="4"/>
  <c r="K69" i="4"/>
  <c r="L70" i="4"/>
  <c r="K73" i="4"/>
  <c r="L74" i="4"/>
  <c r="K77" i="4"/>
  <c r="L78" i="4"/>
  <c r="K82" i="4"/>
  <c r="L83" i="4"/>
  <c r="K86" i="4"/>
  <c r="L87" i="4"/>
  <c r="K90" i="4"/>
  <c r="L91" i="4"/>
  <c r="K94" i="4"/>
  <c r="L95" i="4"/>
  <c r="K98" i="4"/>
  <c r="L99" i="4"/>
  <c r="K102" i="4"/>
  <c r="L103" i="4"/>
  <c r="K106" i="4"/>
  <c r="L107" i="4"/>
  <c r="K111" i="4"/>
  <c r="L112" i="4"/>
  <c r="K115" i="4"/>
  <c r="L116" i="4"/>
  <c r="K119" i="4"/>
  <c r="L120" i="4"/>
  <c r="K123" i="4"/>
  <c r="L124" i="4"/>
  <c r="K127" i="4"/>
  <c r="L128" i="4"/>
  <c r="K131" i="4"/>
  <c r="L132" i="4"/>
  <c r="K135" i="4"/>
  <c r="L136" i="4"/>
  <c r="K139" i="4"/>
  <c r="L140" i="4"/>
  <c r="K143" i="4"/>
  <c r="L144" i="4"/>
  <c r="L60" i="7"/>
  <c r="J60" i="7"/>
  <c r="L64" i="7"/>
  <c r="J64" i="7"/>
  <c r="L68" i="7"/>
  <c r="J68" i="7"/>
  <c r="L76" i="7"/>
  <c r="J76" i="7"/>
  <c r="L93" i="7"/>
  <c r="J93" i="7"/>
  <c r="L97" i="7"/>
  <c r="J97" i="7"/>
  <c r="L110" i="7"/>
  <c r="J110" i="7"/>
  <c r="L130" i="7"/>
  <c r="J130" i="7"/>
  <c r="J2" i="7"/>
  <c r="K3" i="7"/>
  <c r="L4" i="7"/>
  <c r="M5" i="7"/>
  <c r="J6" i="7"/>
  <c r="K7" i="7"/>
  <c r="L8" i="7"/>
  <c r="M9" i="7"/>
  <c r="J10" i="7"/>
  <c r="K11" i="7"/>
  <c r="L12" i="7"/>
  <c r="M13" i="7"/>
  <c r="J14" i="7"/>
  <c r="K15" i="7"/>
  <c r="L16" i="7"/>
  <c r="M17" i="7"/>
  <c r="J18" i="7"/>
  <c r="K19" i="7"/>
  <c r="L20" i="7"/>
  <c r="M21" i="7"/>
  <c r="J22" i="7"/>
  <c r="K23" i="7"/>
  <c r="L24" i="7"/>
  <c r="M25" i="7"/>
  <c r="J26" i="7"/>
  <c r="K27" i="7"/>
  <c r="L28" i="7"/>
  <c r="M29" i="7"/>
  <c r="J30" i="7"/>
  <c r="K31" i="7"/>
  <c r="L32" i="7"/>
  <c r="M33" i="7"/>
  <c r="J34" i="7"/>
  <c r="K35" i="7"/>
  <c r="L36" i="7"/>
  <c r="M37" i="7"/>
  <c r="J38" i="7"/>
  <c r="K39" i="7"/>
  <c r="L40" i="7"/>
  <c r="M41" i="7"/>
  <c r="J42" i="7"/>
  <c r="K43" i="7"/>
  <c r="L44" i="7"/>
  <c r="M45" i="7"/>
  <c r="J46" i="7"/>
  <c r="K47" i="7"/>
  <c r="L48" i="7"/>
  <c r="M49" i="7"/>
  <c r="J50" i="7"/>
  <c r="K51" i="7"/>
  <c r="L52" i="7"/>
  <c r="M53" i="7"/>
  <c r="J54" i="7"/>
  <c r="K55" i="7"/>
  <c r="L56" i="7"/>
  <c r="M57" i="7"/>
  <c r="J58" i="7"/>
  <c r="K113" i="7"/>
  <c r="M113" i="7"/>
  <c r="K117" i="7"/>
  <c r="M117" i="7"/>
  <c r="K133" i="7"/>
  <c r="M133" i="7"/>
  <c r="L138" i="7"/>
  <c r="J138" i="7"/>
  <c r="M65" i="7"/>
  <c r="K65" i="7"/>
  <c r="L81" i="7"/>
  <c r="J81" i="7"/>
  <c r="L85" i="7"/>
  <c r="J85" i="7"/>
  <c r="L101" i="7"/>
  <c r="J101" i="7"/>
  <c r="L105" i="7"/>
  <c r="J105" i="7"/>
  <c r="L142" i="7"/>
  <c r="J142" i="7"/>
  <c r="J62" i="7"/>
  <c r="L62" i="7"/>
  <c r="K63" i="7"/>
  <c r="M63" i="7"/>
  <c r="J66" i="7"/>
  <c r="L66" i="7"/>
  <c r="K67" i="7"/>
  <c r="M67" i="7"/>
  <c r="K71" i="7"/>
  <c r="M71" i="7"/>
  <c r="K75" i="7"/>
  <c r="M75" i="7"/>
  <c r="K80" i="7"/>
  <c r="M80" i="7"/>
  <c r="K84" i="7"/>
  <c r="M84" i="7"/>
  <c r="K88" i="7"/>
  <c r="M88" i="7"/>
  <c r="K92" i="7"/>
  <c r="M92" i="7"/>
  <c r="K96" i="7"/>
  <c r="M96" i="7"/>
  <c r="K100" i="7"/>
  <c r="M100" i="7"/>
  <c r="K104" i="7"/>
  <c r="M104" i="7"/>
  <c r="K108" i="7"/>
  <c r="M108" i="7"/>
  <c r="L122" i="7"/>
  <c r="J122" i="7"/>
  <c r="L126" i="7"/>
  <c r="J126" i="7"/>
  <c r="L134" i="7"/>
  <c r="J134" i="7"/>
  <c r="K141" i="7"/>
  <c r="M141" i="7"/>
  <c r="M61" i="7"/>
  <c r="K61" i="7"/>
  <c r="L72" i="7"/>
  <c r="J72" i="7"/>
  <c r="L89" i="7"/>
  <c r="J89" i="7"/>
  <c r="K121" i="7"/>
  <c r="M121" i="7"/>
  <c r="K125" i="7"/>
  <c r="M125" i="7"/>
  <c r="L114" i="7"/>
  <c r="J114" i="7"/>
  <c r="L118" i="7"/>
  <c r="J118" i="7"/>
  <c r="K129" i="7"/>
  <c r="M129" i="7"/>
  <c r="K137" i="7"/>
  <c r="M137" i="7"/>
  <c r="K69" i="7"/>
  <c r="L70" i="7"/>
  <c r="K73" i="7"/>
  <c r="L74" i="7"/>
  <c r="K77" i="7"/>
  <c r="L78" i="7"/>
  <c r="K82" i="7"/>
  <c r="L83" i="7"/>
  <c r="K86" i="7"/>
  <c r="L87" i="7"/>
  <c r="K90" i="7"/>
  <c r="L91" i="7"/>
  <c r="K94" i="7"/>
  <c r="L95" i="7"/>
  <c r="K98" i="7"/>
  <c r="L99" i="7"/>
  <c r="K102" i="7"/>
  <c r="L103" i="7"/>
  <c r="K106" i="7"/>
  <c r="L107" i="7"/>
  <c r="K111" i="7"/>
  <c r="L112" i="7"/>
  <c r="K115" i="7"/>
  <c r="L116" i="7"/>
  <c r="K119" i="7"/>
  <c r="L120" i="7"/>
  <c r="K123" i="7"/>
  <c r="L124" i="7"/>
  <c r="K127" i="7"/>
  <c r="K131" i="7"/>
  <c r="L132" i="7"/>
  <c r="K135" i="7"/>
  <c r="L136" i="7"/>
  <c r="K139" i="7"/>
  <c r="L140" i="7"/>
  <c r="K143" i="7"/>
  <c r="L144" i="7"/>
  <c r="K96" i="14"/>
  <c r="M96" i="14"/>
  <c r="M2" i="14"/>
  <c r="J3" i="14"/>
  <c r="M6" i="14"/>
  <c r="J7" i="14"/>
  <c r="M10" i="14"/>
  <c r="J11" i="14"/>
  <c r="M14" i="14"/>
  <c r="J15" i="14"/>
  <c r="M18" i="14"/>
  <c r="J19" i="14"/>
  <c r="M22" i="14"/>
  <c r="J23" i="14"/>
  <c r="M26" i="14"/>
  <c r="J27" i="14"/>
  <c r="M30" i="14"/>
  <c r="J31" i="14"/>
  <c r="M34" i="14"/>
  <c r="J35" i="14"/>
  <c r="M38" i="14"/>
  <c r="J39" i="14"/>
  <c r="M42" i="14"/>
  <c r="J43" i="14"/>
  <c r="M46" i="14"/>
  <c r="J47" i="14"/>
  <c r="M50" i="14"/>
  <c r="J51" i="14"/>
  <c r="M54" i="14"/>
  <c r="J55" i="14"/>
  <c r="M58" i="14"/>
  <c r="J59" i="14"/>
  <c r="J63" i="14"/>
  <c r="J67" i="14"/>
  <c r="J71" i="14"/>
  <c r="J76" i="14"/>
  <c r="K78" i="14"/>
  <c r="J85" i="14"/>
  <c r="L89" i="14"/>
  <c r="J89" i="14"/>
  <c r="L93" i="14"/>
  <c r="J93" i="14"/>
  <c r="L97" i="14"/>
  <c r="J97" i="14"/>
  <c r="L101" i="14"/>
  <c r="J101" i="14"/>
  <c r="L105" i="14"/>
  <c r="J105" i="14"/>
  <c r="L110" i="14"/>
  <c r="J110" i="14"/>
  <c r="L114" i="14"/>
  <c r="J114" i="14"/>
  <c r="L118" i="14"/>
  <c r="J118" i="14"/>
  <c r="L122" i="14"/>
  <c r="J122" i="14"/>
  <c r="L126" i="14"/>
  <c r="J126" i="14"/>
  <c r="L130" i="14"/>
  <c r="J130" i="14"/>
  <c r="L134" i="14"/>
  <c r="J134" i="14"/>
  <c r="L138" i="14"/>
  <c r="J138" i="14"/>
  <c r="L142" i="14"/>
  <c r="J142" i="14"/>
  <c r="K92" i="14"/>
  <c r="M92" i="14"/>
  <c r="K100" i="14"/>
  <c r="M100" i="14"/>
  <c r="K61" i="14"/>
  <c r="K65" i="14"/>
  <c r="K69" i="14"/>
  <c r="L80" i="14"/>
  <c r="K88" i="14"/>
  <c r="M88" i="14"/>
  <c r="M59" i="14"/>
  <c r="M63" i="14"/>
  <c r="M67" i="14"/>
  <c r="M71" i="14"/>
  <c r="M80" i="14"/>
  <c r="K104" i="14"/>
  <c r="M104" i="14"/>
  <c r="K108" i="14"/>
  <c r="M108" i="14"/>
  <c r="K113" i="14"/>
  <c r="M113" i="14"/>
  <c r="K117" i="14"/>
  <c r="M117" i="14"/>
  <c r="K121" i="14"/>
  <c r="M121" i="14"/>
  <c r="K125" i="14"/>
  <c r="M125" i="14"/>
  <c r="K129" i="14"/>
  <c r="M129" i="14"/>
  <c r="K133" i="14"/>
  <c r="M133" i="14"/>
  <c r="K137" i="14"/>
  <c r="M137" i="14"/>
  <c r="K141" i="14"/>
  <c r="M141" i="14"/>
  <c r="K102" i="14"/>
  <c r="L103" i="14"/>
  <c r="K106" i="14"/>
  <c r="L107" i="14"/>
  <c r="K111" i="14"/>
  <c r="L112" i="14"/>
  <c r="K115" i="14"/>
  <c r="L116" i="14"/>
  <c r="K119" i="14"/>
  <c r="L120" i="14"/>
  <c r="K123" i="14"/>
  <c r="L124" i="14"/>
  <c r="K127" i="14"/>
  <c r="L128" i="14"/>
  <c r="K131" i="14"/>
  <c r="L132" i="14"/>
  <c r="K135" i="14"/>
  <c r="L136" i="14"/>
  <c r="K139" i="14"/>
  <c r="L140" i="14"/>
  <c r="K143" i="14"/>
  <c r="L144" i="14"/>
  <c r="M4" i="5"/>
  <c r="J5" i="5"/>
  <c r="M8" i="5"/>
  <c r="J9" i="5"/>
  <c r="M12" i="5"/>
  <c r="J13" i="5"/>
  <c r="M16" i="5"/>
  <c r="J17" i="5"/>
  <c r="M20" i="5"/>
  <c r="J21" i="5"/>
  <c r="M24" i="5"/>
  <c r="J25" i="5"/>
  <c r="M28" i="5"/>
  <c r="J29" i="5"/>
  <c r="M32" i="5"/>
  <c r="J33" i="5"/>
  <c r="M36" i="5"/>
  <c r="J37" i="5"/>
  <c r="M40" i="5"/>
  <c r="J41" i="5"/>
  <c r="M44" i="5"/>
  <c r="J45" i="5"/>
  <c r="M48" i="5"/>
  <c r="J49" i="5"/>
  <c r="M52" i="5"/>
  <c r="J53" i="5"/>
  <c r="M56" i="5"/>
  <c r="J57" i="5"/>
  <c r="K60" i="5"/>
  <c r="M61" i="5"/>
  <c r="K61" i="5"/>
  <c r="L64" i="5"/>
  <c r="J64" i="5"/>
  <c r="M65" i="5"/>
  <c r="K65" i="5"/>
  <c r="L68" i="5"/>
  <c r="J68" i="5"/>
  <c r="M69" i="5"/>
  <c r="K69" i="5"/>
  <c r="L72" i="5"/>
  <c r="J72" i="5"/>
  <c r="M73" i="5"/>
  <c r="K73" i="5"/>
  <c r="L76" i="5"/>
  <c r="J76" i="5"/>
  <c r="M77" i="5"/>
  <c r="K77" i="5"/>
  <c r="L81" i="5"/>
  <c r="J81" i="5"/>
  <c r="L85" i="5"/>
  <c r="J85" i="5"/>
  <c r="L89" i="5"/>
  <c r="J89" i="5"/>
  <c r="L93" i="5"/>
  <c r="J93" i="5"/>
  <c r="L97" i="5"/>
  <c r="J97" i="5"/>
  <c r="L101" i="5"/>
  <c r="J101" i="5"/>
  <c r="L105" i="5"/>
  <c r="J105" i="5"/>
  <c r="L110" i="5"/>
  <c r="J110" i="5"/>
  <c r="L114" i="5"/>
  <c r="J114" i="5"/>
  <c r="L118" i="5"/>
  <c r="J118" i="5"/>
  <c r="L122" i="5"/>
  <c r="J122" i="5"/>
  <c r="L126" i="5"/>
  <c r="J126" i="5"/>
  <c r="L130" i="5"/>
  <c r="J130" i="5"/>
  <c r="L134" i="5"/>
  <c r="J134" i="5"/>
  <c r="L138" i="5"/>
  <c r="J138" i="5"/>
  <c r="L142" i="5"/>
  <c r="J142" i="5"/>
  <c r="L60" i="5"/>
  <c r="J62" i="5"/>
  <c r="L62" i="5"/>
  <c r="K63" i="5"/>
  <c r="M63" i="5"/>
  <c r="J66" i="5"/>
  <c r="L66" i="5"/>
  <c r="K67" i="5"/>
  <c r="M67" i="5"/>
  <c r="J70" i="5"/>
  <c r="L70" i="5"/>
  <c r="K71" i="5"/>
  <c r="M71" i="5"/>
  <c r="J74" i="5"/>
  <c r="L74" i="5"/>
  <c r="K75" i="5"/>
  <c r="M75" i="5"/>
  <c r="J78" i="5"/>
  <c r="L78" i="5"/>
  <c r="K80" i="5"/>
  <c r="M80" i="5"/>
  <c r="K84" i="5"/>
  <c r="M84" i="5"/>
  <c r="K88" i="5"/>
  <c r="M88" i="5"/>
  <c r="K92" i="5"/>
  <c r="M92" i="5"/>
  <c r="K96" i="5"/>
  <c r="M96" i="5"/>
  <c r="K100" i="5"/>
  <c r="M100" i="5"/>
  <c r="K104" i="5"/>
  <c r="M104" i="5"/>
  <c r="K108" i="5"/>
  <c r="M108" i="5"/>
  <c r="K113" i="5"/>
  <c r="M113" i="5"/>
  <c r="K117" i="5"/>
  <c r="M117" i="5"/>
  <c r="K121" i="5"/>
  <c r="M121" i="5"/>
  <c r="K125" i="5"/>
  <c r="M125" i="5"/>
  <c r="K129" i="5"/>
  <c r="M129" i="5"/>
  <c r="K133" i="5"/>
  <c r="M133" i="5"/>
  <c r="K137" i="5"/>
  <c r="M137" i="5"/>
  <c r="K141" i="5"/>
  <c r="M141" i="5"/>
  <c r="K82" i="5"/>
  <c r="L83" i="5"/>
  <c r="K86" i="5"/>
  <c r="L87" i="5"/>
  <c r="K90" i="5"/>
  <c r="L91" i="5"/>
  <c r="K94" i="5"/>
  <c r="L95" i="5"/>
  <c r="K98" i="5"/>
  <c r="L99" i="5"/>
  <c r="K102" i="5"/>
  <c r="L103" i="5"/>
  <c r="K106" i="5"/>
  <c r="L107" i="5"/>
  <c r="K111" i="5"/>
  <c r="L112" i="5"/>
  <c r="K115" i="5"/>
  <c r="L116" i="5"/>
  <c r="K119" i="5"/>
  <c r="L120" i="5"/>
  <c r="K123" i="5"/>
  <c r="L124" i="5"/>
  <c r="K127" i="5"/>
  <c r="L128" i="5"/>
  <c r="K131" i="5"/>
  <c r="L132" i="5"/>
  <c r="K135" i="5"/>
  <c r="L136" i="5"/>
  <c r="K139" i="5"/>
  <c r="L140" i="5"/>
  <c r="K143" i="5"/>
  <c r="L144" i="5"/>
  <c r="M4" i="10"/>
  <c r="J5" i="10"/>
  <c r="M8" i="10"/>
  <c r="J9" i="10"/>
  <c r="M12" i="10"/>
  <c r="J13" i="10"/>
  <c r="M16" i="10"/>
  <c r="J17" i="10"/>
  <c r="M20" i="10"/>
  <c r="J21" i="10"/>
  <c r="M24" i="10"/>
  <c r="J25" i="10"/>
  <c r="M28" i="10"/>
  <c r="J29" i="10"/>
  <c r="M32" i="10"/>
  <c r="J33" i="10"/>
  <c r="M36" i="10"/>
  <c r="J37" i="10"/>
  <c r="M40" i="10"/>
  <c r="J41" i="10"/>
  <c r="M44" i="10"/>
  <c r="J45" i="10"/>
  <c r="M48" i="10"/>
  <c r="J49" i="10"/>
  <c r="M52" i="10"/>
  <c r="J53" i="10"/>
  <c r="M56" i="10"/>
  <c r="J57" i="10"/>
  <c r="K60" i="10"/>
  <c r="M61" i="10"/>
  <c r="K61" i="10"/>
  <c r="L64" i="10"/>
  <c r="J64" i="10"/>
  <c r="M65" i="10"/>
  <c r="K65" i="10"/>
  <c r="L68" i="10"/>
  <c r="J68" i="10"/>
  <c r="M69" i="10"/>
  <c r="K69" i="10"/>
  <c r="L72" i="10"/>
  <c r="J72" i="10"/>
  <c r="M73" i="10"/>
  <c r="K73" i="10"/>
  <c r="L76" i="10"/>
  <c r="J76" i="10"/>
  <c r="M77" i="10"/>
  <c r="K77" i="10"/>
  <c r="L81" i="10"/>
  <c r="J81" i="10"/>
  <c r="L85" i="10"/>
  <c r="J85" i="10"/>
  <c r="L89" i="10"/>
  <c r="J89" i="10"/>
  <c r="L93" i="10"/>
  <c r="J93" i="10"/>
  <c r="L97" i="10"/>
  <c r="J97" i="10"/>
  <c r="L101" i="10"/>
  <c r="J101" i="10"/>
  <c r="L105" i="10"/>
  <c r="J105" i="10"/>
  <c r="L110" i="10"/>
  <c r="J110" i="10"/>
  <c r="L114" i="10"/>
  <c r="J114" i="10"/>
  <c r="L118" i="10"/>
  <c r="J118" i="10"/>
  <c r="L122" i="10"/>
  <c r="J122" i="10"/>
  <c r="L126" i="10"/>
  <c r="J126" i="10"/>
  <c r="L130" i="10"/>
  <c r="J130" i="10"/>
  <c r="L134" i="10"/>
  <c r="J134" i="10"/>
  <c r="L138" i="10"/>
  <c r="J138" i="10"/>
  <c r="L142" i="10"/>
  <c r="J142" i="10"/>
  <c r="L60" i="10"/>
  <c r="J62" i="10"/>
  <c r="L62" i="10"/>
  <c r="K63" i="10"/>
  <c r="M63" i="10"/>
  <c r="J66" i="10"/>
  <c r="L66" i="10"/>
  <c r="K67" i="10"/>
  <c r="M67" i="10"/>
  <c r="J70" i="10"/>
  <c r="L70" i="10"/>
  <c r="K71" i="10"/>
  <c r="M71" i="10"/>
  <c r="J74" i="10"/>
  <c r="L74" i="10"/>
  <c r="K75" i="10"/>
  <c r="M75" i="10"/>
  <c r="J78" i="10"/>
  <c r="L78" i="10"/>
  <c r="K80" i="10"/>
  <c r="M80" i="10"/>
  <c r="K84" i="10"/>
  <c r="M84" i="10"/>
  <c r="K88" i="10"/>
  <c r="M88" i="10"/>
  <c r="K92" i="10"/>
  <c r="M92" i="10"/>
  <c r="K96" i="10"/>
  <c r="M96" i="10"/>
  <c r="K100" i="10"/>
  <c r="M100" i="10"/>
  <c r="K104" i="10"/>
  <c r="M104" i="10"/>
  <c r="K108" i="10"/>
  <c r="M108" i="10"/>
  <c r="K113" i="10"/>
  <c r="M113" i="10"/>
  <c r="K117" i="10"/>
  <c r="M117" i="10"/>
  <c r="K121" i="10"/>
  <c r="M121" i="10"/>
  <c r="K125" i="10"/>
  <c r="M125" i="10"/>
  <c r="K129" i="10"/>
  <c r="M129" i="10"/>
  <c r="K133" i="10"/>
  <c r="M133" i="10"/>
  <c r="K137" i="10"/>
  <c r="M137" i="10"/>
  <c r="K141" i="10"/>
  <c r="M141" i="10"/>
  <c r="K82" i="10"/>
  <c r="L83" i="10"/>
  <c r="K86" i="10"/>
  <c r="L87" i="10"/>
  <c r="K90" i="10"/>
  <c r="L91" i="10"/>
  <c r="K94" i="10"/>
  <c r="L95" i="10"/>
  <c r="K98" i="10"/>
  <c r="L99" i="10"/>
  <c r="K102" i="10"/>
  <c r="L103" i="10"/>
  <c r="K106" i="10"/>
  <c r="L107" i="10"/>
  <c r="K111" i="10"/>
  <c r="L112" i="10"/>
  <c r="K115" i="10"/>
  <c r="L116" i="10"/>
  <c r="K119" i="10"/>
  <c r="L120" i="10"/>
  <c r="K123" i="10"/>
  <c r="L124" i="10"/>
  <c r="K127" i="10"/>
  <c r="L128" i="10"/>
  <c r="K131" i="10"/>
  <c r="L132" i="10"/>
  <c r="K135" i="10"/>
  <c r="L136" i="10"/>
  <c r="K139" i="10"/>
  <c r="L140" i="10"/>
  <c r="K143" i="10"/>
  <c r="L144" i="10"/>
  <c r="K4" i="12"/>
  <c r="L5" i="12"/>
  <c r="K8" i="12"/>
  <c r="L9" i="12"/>
  <c r="K12" i="12"/>
  <c r="L13" i="12"/>
  <c r="K16" i="12"/>
  <c r="L17" i="12"/>
  <c r="K20" i="12"/>
  <c r="L21" i="12"/>
  <c r="K24" i="12"/>
  <c r="L25" i="12"/>
  <c r="K28" i="12"/>
  <c r="L29" i="12"/>
  <c r="K32" i="12"/>
  <c r="L33" i="12"/>
  <c r="K36" i="12"/>
  <c r="L37" i="12"/>
  <c r="K40" i="12"/>
  <c r="L41" i="12"/>
  <c r="K44" i="12"/>
  <c r="L45" i="12"/>
  <c r="K48" i="12"/>
  <c r="L49" i="12"/>
  <c r="K52" i="12"/>
  <c r="L53" i="12"/>
  <c r="J59" i="12"/>
  <c r="K61" i="12"/>
  <c r="M62" i="12"/>
  <c r="J63" i="12"/>
  <c r="K65" i="12"/>
  <c r="J2" i="12"/>
  <c r="M5" i="12"/>
  <c r="M49" i="12"/>
  <c r="K51" i="12"/>
  <c r="L52" i="12"/>
  <c r="K55" i="12"/>
  <c r="L56" i="12"/>
  <c r="K59" i="12"/>
  <c r="M73" i="12"/>
  <c r="K73" i="12"/>
  <c r="J62" i="12"/>
  <c r="J67" i="12"/>
  <c r="J70" i="12"/>
  <c r="L70" i="12"/>
  <c r="K64" i="12"/>
  <c r="K112" i="12"/>
  <c r="K116" i="12"/>
  <c r="K120" i="12"/>
  <c r="J127" i="12"/>
  <c r="K128" i="12"/>
  <c r="L129" i="12"/>
  <c r="K132" i="12"/>
  <c r="L133" i="12"/>
  <c r="K136" i="12"/>
  <c r="M138" i="12"/>
  <c r="J139" i="12"/>
  <c r="M142" i="12"/>
  <c r="J143" i="12"/>
  <c r="K144" i="12"/>
  <c r="L74" i="12"/>
  <c r="K77" i="12"/>
  <c r="L78" i="12"/>
  <c r="K82" i="12"/>
  <c r="L83" i="12"/>
  <c r="K86" i="12"/>
  <c r="L87" i="12"/>
  <c r="K90" i="12"/>
  <c r="L91" i="12"/>
  <c r="K94" i="12"/>
  <c r="L95" i="12"/>
  <c r="K98" i="12"/>
  <c r="L99" i="12"/>
  <c r="K102" i="12"/>
  <c r="L103" i="12"/>
  <c r="K106" i="12"/>
  <c r="L107" i="12"/>
  <c r="K111" i="12"/>
  <c r="L112" i="12"/>
  <c r="K115" i="12"/>
  <c r="L116" i="12"/>
  <c r="K119" i="12"/>
  <c r="L120" i="12"/>
  <c r="K123" i="12"/>
  <c r="L124" i="12"/>
  <c r="K127" i="12"/>
  <c r="L128" i="12"/>
  <c r="K131" i="12"/>
  <c r="L132" i="12"/>
  <c r="K135" i="12"/>
  <c r="L136" i="12"/>
  <c r="K139" i="12"/>
  <c r="L140" i="12"/>
  <c r="K143" i="12"/>
  <c r="L144" i="12"/>
  <c r="K125" i="2"/>
  <c r="M125" i="2"/>
  <c r="K137" i="2"/>
  <c r="M137" i="2"/>
  <c r="M4" i="2"/>
  <c r="J5" i="2"/>
  <c r="M8" i="2"/>
  <c r="J9" i="2"/>
  <c r="M12" i="2"/>
  <c r="J13" i="2"/>
  <c r="M16" i="2"/>
  <c r="J17" i="2"/>
  <c r="M20" i="2"/>
  <c r="J21" i="2"/>
  <c r="M24" i="2"/>
  <c r="J25" i="2"/>
  <c r="M28" i="2"/>
  <c r="J29" i="2"/>
  <c r="M32" i="2"/>
  <c r="J33" i="2"/>
  <c r="M36" i="2"/>
  <c r="J37" i="2"/>
  <c r="M40" i="2"/>
  <c r="J41" i="2"/>
  <c r="M44" i="2"/>
  <c r="J45" i="2"/>
  <c r="M48" i="2"/>
  <c r="J49" i="2"/>
  <c r="M52" i="2"/>
  <c r="J53" i="2"/>
  <c r="M56" i="2"/>
  <c r="J57" i="2"/>
  <c r="K60" i="2"/>
  <c r="M61" i="2"/>
  <c r="K61" i="2"/>
  <c r="L64" i="2"/>
  <c r="J64" i="2"/>
  <c r="M65" i="2"/>
  <c r="K65" i="2"/>
  <c r="L68" i="2"/>
  <c r="J68" i="2"/>
  <c r="M69" i="2"/>
  <c r="K69" i="2"/>
  <c r="L72" i="2"/>
  <c r="J72" i="2"/>
  <c r="L76" i="2"/>
  <c r="J76" i="2"/>
  <c r="L81" i="2"/>
  <c r="J81" i="2"/>
  <c r="L85" i="2"/>
  <c r="J85" i="2"/>
  <c r="L89" i="2"/>
  <c r="J89" i="2"/>
  <c r="L93" i="2"/>
  <c r="J93" i="2"/>
  <c r="L97" i="2"/>
  <c r="J97" i="2"/>
  <c r="L101" i="2"/>
  <c r="J101" i="2"/>
  <c r="L105" i="2"/>
  <c r="J105" i="2"/>
  <c r="L110" i="2"/>
  <c r="J110" i="2"/>
  <c r="L114" i="2"/>
  <c r="J114" i="2"/>
  <c r="K117" i="2"/>
  <c r="M117" i="2"/>
  <c r="K133" i="2"/>
  <c r="M133" i="2"/>
  <c r="K121" i="2"/>
  <c r="M121" i="2"/>
  <c r="L130" i="2"/>
  <c r="J130" i="2"/>
  <c r="K141" i="2"/>
  <c r="M141" i="2"/>
  <c r="L60" i="2"/>
  <c r="L122" i="2"/>
  <c r="J122" i="2"/>
  <c r="L126" i="2"/>
  <c r="J126" i="2"/>
  <c r="K129" i="2"/>
  <c r="M129" i="2"/>
  <c r="L138" i="2"/>
  <c r="J138" i="2"/>
  <c r="L142" i="2"/>
  <c r="J142" i="2"/>
  <c r="J62" i="2"/>
  <c r="L62" i="2"/>
  <c r="K63" i="2"/>
  <c r="M63" i="2"/>
  <c r="J66" i="2"/>
  <c r="L66" i="2"/>
  <c r="K67" i="2"/>
  <c r="M67" i="2"/>
  <c r="K71" i="2"/>
  <c r="M71" i="2"/>
  <c r="K75" i="2"/>
  <c r="M75" i="2"/>
  <c r="K80" i="2"/>
  <c r="M80" i="2"/>
  <c r="K84" i="2"/>
  <c r="M84" i="2"/>
  <c r="K88" i="2"/>
  <c r="M88" i="2"/>
  <c r="K92" i="2"/>
  <c r="M92" i="2"/>
  <c r="K96" i="2"/>
  <c r="M96" i="2"/>
  <c r="K100" i="2"/>
  <c r="M100" i="2"/>
  <c r="K104" i="2"/>
  <c r="M104" i="2"/>
  <c r="K108" i="2"/>
  <c r="M108" i="2"/>
  <c r="K113" i="2"/>
  <c r="M113" i="2"/>
  <c r="L118" i="2"/>
  <c r="J118" i="2"/>
  <c r="L134" i="2"/>
  <c r="J134" i="2"/>
  <c r="L70" i="2"/>
  <c r="K73" i="2"/>
  <c r="L74" i="2"/>
  <c r="K77" i="2"/>
  <c r="L78" i="2"/>
  <c r="K82" i="2"/>
  <c r="L83" i="2"/>
  <c r="K86" i="2"/>
  <c r="L87" i="2"/>
  <c r="K90" i="2"/>
  <c r="L91" i="2"/>
  <c r="K94" i="2"/>
  <c r="L95" i="2"/>
  <c r="K98" i="2"/>
  <c r="L99" i="2"/>
  <c r="K102" i="2"/>
  <c r="L103" i="2"/>
  <c r="K106" i="2"/>
  <c r="L107" i="2"/>
  <c r="K111" i="2"/>
  <c r="L112" i="2"/>
  <c r="K115" i="2"/>
  <c r="L116" i="2"/>
  <c r="K119" i="2"/>
  <c r="K127" i="2"/>
  <c r="K129" i="3"/>
  <c r="M129" i="3"/>
  <c r="L2" i="3"/>
  <c r="M3" i="3"/>
  <c r="J4" i="3"/>
  <c r="K5" i="3"/>
  <c r="L6" i="3"/>
  <c r="M7" i="3"/>
  <c r="J8" i="3"/>
  <c r="K9" i="3"/>
  <c r="L10" i="3"/>
  <c r="M11" i="3"/>
  <c r="J12" i="3"/>
  <c r="K13" i="3"/>
  <c r="L14" i="3"/>
  <c r="M15" i="3"/>
  <c r="J16" i="3"/>
  <c r="K17" i="3"/>
  <c r="L18" i="3"/>
  <c r="M19" i="3"/>
  <c r="J20" i="3"/>
  <c r="K21" i="3"/>
  <c r="L22" i="3"/>
  <c r="M23" i="3"/>
  <c r="J24" i="3"/>
  <c r="K25" i="3"/>
  <c r="L26" i="3"/>
  <c r="M27" i="3"/>
  <c r="J28" i="3"/>
  <c r="K29" i="3"/>
  <c r="L30" i="3"/>
  <c r="M31" i="3"/>
  <c r="J32" i="3"/>
  <c r="K33" i="3"/>
  <c r="M35" i="3"/>
  <c r="J36" i="3"/>
  <c r="M39" i="3"/>
  <c r="J40" i="3"/>
  <c r="M43" i="3"/>
  <c r="J44" i="3"/>
  <c r="M47" i="3"/>
  <c r="J48" i="3"/>
  <c r="M51" i="3"/>
  <c r="J52" i="3"/>
  <c r="M54" i="3"/>
  <c r="J55" i="3"/>
  <c r="J58" i="3"/>
  <c r="L58" i="3"/>
  <c r="K59" i="3"/>
  <c r="M59" i="3"/>
  <c r="J62" i="3"/>
  <c r="L62" i="3"/>
  <c r="K63" i="3"/>
  <c r="M63" i="3"/>
  <c r="K67" i="3"/>
  <c r="M67" i="3"/>
  <c r="K71" i="3"/>
  <c r="M71" i="3"/>
  <c r="K75" i="3"/>
  <c r="M75" i="3"/>
  <c r="K80" i="3"/>
  <c r="M80" i="3"/>
  <c r="K84" i="3"/>
  <c r="M84" i="3"/>
  <c r="K88" i="3"/>
  <c r="M88" i="3"/>
  <c r="K92" i="3"/>
  <c r="M92" i="3"/>
  <c r="K96" i="3"/>
  <c r="M96" i="3"/>
  <c r="K100" i="3"/>
  <c r="M100" i="3"/>
  <c r="K104" i="3"/>
  <c r="M104" i="3"/>
  <c r="K108" i="3"/>
  <c r="M108" i="3"/>
  <c r="L114" i="3"/>
  <c r="J114" i="3"/>
  <c r="L130" i="3"/>
  <c r="J130" i="3"/>
  <c r="K137" i="3"/>
  <c r="M137" i="3"/>
  <c r="K141" i="3"/>
  <c r="M141" i="3"/>
  <c r="K113" i="3"/>
  <c r="M113" i="3"/>
  <c r="K117" i="3"/>
  <c r="M117" i="3"/>
  <c r="K121" i="3"/>
  <c r="M121" i="3"/>
  <c r="K125" i="3"/>
  <c r="M125" i="3"/>
  <c r="K133" i="3"/>
  <c r="M133" i="3"/>
  <c r="L138" i="3"/>
  <c r="J138" i="3"/>
  <c r="L142" i="3"/>
  <c r="J142" i="3"/>
  <c r="M55" i="3"/>
  <c r="M57" i="3"/>
  <c r="K57" i="3"/>
  <c r="L60" i="3"/>
  <c r="J60" i="3"/>
  <c r="M61" i="3"/>
  <c r="K61" i="3"/>
  <c r="L64" i="3"/>
  <c r="J64" i="3"/>
  <c r="L68" i="3"/>
  <c r="J68" i="3"/>
  <c r="L72" i="3"/>
  <c r="J72" i="3"/>
  <c r="L76" i="3"/>
  <c r="J76" i="3"/>
  <c r="L81" i="3"/>
  <c r="J81" i="3"/>
  <c r="L85" i="3"/>
  <c r="J85" i="3"/>
  <c r="L89" i="3"/>
  <c r="J89" i="3"/>
  <c r="L93" i="3"/>
  <c r="J93" i="3"/>
  <c r="L97" i="3"/>
  <c r="J97" i="3"/>
  <c r="L101" i="3"/>
  <c r="J101" i="3"/>
  <c r="L105" i="3"/>
  <c r="J105" i="3"/>
  <c r="L110" i="3"/>
  <c r="J110" i="3"/>
  <c r="L118" i="3"/>
  <c r="J118" i="3"/>
  <c r="L122" i="3"/>
  <c r="J122" i="3"/>
  <c r="L126" i="3"/>
  <c r="J126" i="3"/>
  <c r="L134" i="3"/>
  <c r="J134" i="3"/>
  <c r="K65" i="3"/>
  <c r="L66" i="3"/>
  <c r="K69" i="3"/>
  <c r="L70" i="3"/>
  <c r="K73" i="3"/>
  <c r="L74" i="3"/>
  <c r="K77" i="3"/>
  <c r="L78" i="3"/>
  <c r="K82" i="3"/>
  <c r="L83" i="3"/>
  <c r="K86" i="3"/>
  <c r="L87" i="3"/>
  <c r="K90" i="3"/>
  <c r="L91" i="3"/>
  <c r="K94" i="3"/>
  <c r="L95" i="3"/>
  <c r="K98" i="3"/>
  <c r="L99" i="3"/>
  <c r="K102" i="3"/>
  <c r="L103" i="3"/>
  <c r="K106" i="3"/>
  <c r="L107" i="3"/>
  <c r="K111" i="3"/>
  <c r="L112" i="3"/>
  <c r="K115" i="3"/>
  <c r="L116" i="3"/>
  <c r="K119" i="3"/>
  <c r="L120" i="3"/>
  <c r="K146" i="12" l="1"/>
  <c r="K146" i="7"/>
  <c r="M146" i="7"/>
  <c r="M146" i="17"/>
  <c r="M146" i="13"/>
  <c r="L146" i="13"/>
  <c r="M146" i="5"/>
  <c r="K146" i="4"/>
  <c r="M146" i="2"/>
  <c r="M146" i="3"/>
  <c r="K146" i="10"/>
  <c r="M146" i="10"/>
  <c r="K146" i="15"/>
  <c r="K146" i="17"/>
  <c r="K146" i="9"/>
  <c r="M146" i="4"/>
  <c r="M146" i="18"/>
  <c r="M146" i="9"/>
  <c r="K146" i="3"/>
  <c r="M146" i="12"/>
  <c r="K146" i="5"/>
  <c r="K146" i="14"/>
  <c r="K146" i="18"/>
  <c r="M146" i="8"/>
  <c r="K146" i="13"/>
  <c r="K146" i="2"/>
  <c r="K146" i="6"/>
  <c r="M146" i="15"/>
  <c r="L146" i="12"/>
  <c r="L146" i="10"/>
  <c r="J146" i="5"/>
  <c r="J146" i="3"/>
  <c r="L146" i="4"/>
  <c r="L146" i="17"/>
  <c r="J146" i="6"/>
  <c r="J146" i="10"/>
  <c r="L146" i="5"/>
  <c r="L146" i="7"/>
  <c r="L146" i="18"/>
  <c r="L146" i="6"/>
  <c r="L146" i="8"/>
  <c r="L146" i="15"/>
  <c r="J146" i="18"/>
  <c r="J146" i="9"/>
  <c r="J146" i="8"/>
  <c r="J146" i="13"/>
  <c r="J146" i="2"/>
  <c r="L146" i="9"/>
  <c r="L146" i="2"/>
  <c r="L146" i="14"/>
  <c r="J146" i="14"/>
  <c r="J146" i="17"/>
  <c r="J146" i="15"/>
  <c r="K146" i="8"/>
  <c r="M146" i="6"/>
  <c r="J146" i="4"/>
  <c r="J146" i="7"/>
  <c r="M146" i="14"/>
  <c r="J146" i="12"/>
  <c r="L146" i="3"/>
  <c r="I88" i="11" l="1"/>
  <c r="L88" i="11" l="1"/>
  <c r="J88" i="11"/>
  <c r="N144" i="11"/>
  <c r="U69" i="1" s="1"/>
  <c r="I144" i="11"/>
  <c r="H144" i="11"/>
  <c r="N143" i="11"/>
  <c r="U55" i="1" s="1"/>
  <c r="I143" i="11"/>
  <c r="H143" i="11"/>
  <c r="N142" i="11"/>
  <c r="U18" i="1" s="1"/>
  <c r="I142" i="11"/>
  <c r="H142" i="11"/>
  <c r="N141" i="11"/>
  <c r="U97" i="1" s="1"/>
  <c r="I141" i="11"/>
  <c r="H141" i="11"/>
  <c r="N140" i="11"/>
  <c r="U141" i="1" s="1"/>
  <c r="I140" i="11"/>
  <c r="H140" i="11"/>
  <c r="N139" i="11"/>
  <c r="U48" i="1" s="1"/>
  <c r="I139" i="11"/>
  <c r="H139" i="11"/>
  <c r="N138" i="11"/>
  <c r="U65" i="1" s="1"/>
  <c r="I138" i="11"/>
  <c r="H138" i="11"/>
  <c r="N137" i="11"/>
  <c r="U3" i="1" s="1"/>
  <c r="I137" i="11"/>
  <c r="H137" i="11"/>
  <c r="N136" i="11"/>
  <c r="U88" i="1" s="1"/>
  <c r="I136" i="11"/>
  <c r="H136" i="11"/>
  <c r="N135" i="11"/>
  <c r="U7" i="1" s="1"/>
  <c r="I135" i="11"/>
  <c r="H135" i="11"/>
  <c r="N134" i="11"/>
  <c r="U91" i="1" s="1"/>
  <c r="I134" i="11"/>
  <c r="H134" i="11"/>
  <c r="N133" i="11"/>
  <c r="U51" i="1" s="1"/>
  <c r="I133" i="11"/>
  <c r="H133" i="11"/>
  <c r="N132" i="11"/>
  <c r="U8" i="1" s="1"/>
  <c r="I132" i="11"/>
  <c r="H132" i="11"/>
  <c r="N131" i="11"/>
  <c r="U76" i="1" s="1"/>
  <c r="I131" i="11"/>
  <c r="H131" i="11"/>
  <c r="N130" i="11"/>
  <c r="U119" i="1" s="1"/>
  <c r="I130" i="11"/>
  <c r="H130" i="11"/>
  <c r="N129" i="11"/>
  <c r="U84" i="1" s="1"/>
  <c r="I129" i="11"/>
  <c r="H129" i="11"/>
  <c r="N128" i="11"/>
  <c r="U73" i="1" s="1"/>
  <c r="I128" i="11"/>
  <c r="H128" i="11"/>
  <c r="N127" i="11"/>
  <c r="U26" i="1" s="1"/>
  <c r="I127" i="11"/>
  <c r="H127" i="11"/>
  <c r="N126" i="11"/>
  <c r="U138" i="1" s="1"/>
  <c r="I126" i="11"/>
  <c r="H126" i="11"/>
  <c r="N125" i="11"/>
  <c r="U128" i="1" s="1"/>
  <c r="I125" i="11"/>
  <c r="H125" i="11"/>
  <c r="N124" i="11"/>
  <c r="U106" i="1" s="1"/>
  <c r="I124" i="11"/>
  <c r="H124" i="11"/>
  <c r="N123" i="11"/>
  <c r="U102" i="1" s="1"/>
  <c r="I123" i="11"/>
  <c r="H123" i="11"/>
  <c r="N122" i="11"/>
  <c r="U68" i="1" s="1"/>
  <c r="I122" i="11"/>
  <c r="H122" i="11"/>
  <c r="N121" i="11"/>
  <c r="U95" i="1" s="1"/>
  <c r="I121" i="11"/>
  <c r="H121" i="11"/>
  <c r="N120" i="11"/>
  <c r="U38" i="1" s="1"/>
  <c r="I120" i="11"/>
  <c r="H120" i="11"/>
  <c r="N119" i="11"/>
  <c r="U103" i="1" s="1"/>
  <c r="I119" i="11"/>
  <c r="H119" i="11"/>
  <c r="N118" i="11"/>
  <c r="U116" i="1" s="1"/>
  <c r="I118" i="11"/>
  <c r="H118" i="11"/>
  <c r="N117" i="11"/>
  <c r="U127" i="1" s="1"/>
  <c r="I117" i="11"/>
  <c r="H117" i="11"/>
  <c r="N116" i="11"/>
  <c r="U121" i="1" s="1"/>
  <c r="I116" i="11"/>
  <c r="H116" i="11"/>
  <c r="N115" i="11"/>
  <c r="U19" i="1" s="1"/>
  <c r="I115" i="11"/>
  <c r="H115" i="11"/>
  <c r="N114" i="11"/>
  <c r="U47" i="1" s="1"/>
  <c r="I114" i="11"/>
  <c r="H114" i="11"/>
  <c r="N113" i="11"/>
  <c r="U42" i="1" s="1"/>
  <c r="I113" i="11"/>
  <c r="H113" i="11"/>
  <c r="N112" i="11"/>
  <c r="U61" i="1" s="1"/>
  <c r="I112" i="11"/>
  <c r="H112" i="11"/>
  <c r="N111" i="11"/>
  <c r="U12" i="1" s="1"/>
  <c r="I111" i="11"/>
  <c r="H111" i="11"/>
  <c r="N110" i="11"/>
  <c r="U92" i="1" s="1"/>
  <c r="I110" i="11"/>
  <c r="H110" i="11"/>
  <c r="N108" i="11"/>
  <c r="U33" i="1" s="1"/>
  <c r="I108" i="11"/>
  <c r="H108" i="11"/>
  <c r="N107" i="11"/>
  <c r="U122" i="1" s="1"/>
  <c r="I107" i="11"/>
  <c r="H107" i="11"/>
  <c r="N106" i="11"/>
  <c r="U77" i="1" s="1"/>
  <c r="I106" i="11"/>
  <c r="H106" i="11"/>
  <c r="N105" i="11"/>
  <c r="U44" i="1" s="1"/>
  <c r="I105" i="11"/>
  <c r="H105" i="11"/>
  <c r="N104" i="11"/>
  <c r="U120" i="1" s="1"/>
  <c r="I104" i="11"/>
  <c r="H104" i="11"/>
  <c r="N103" i="11"/>
  <c r="U75" i="1" s="1"/>
  <c r="I103" i="11"/>
  <c r="H103" i="11"/>
  <c r="N102" i="11"/>
  <c r="U36" i="1" s="1"/>
  <c r="I102" i="11"/>
  <c r="H102" i="11"/>
  <c r="N101" i="11"/>
  <c r="U114" i="1" s="1"/>
  <c r="I101" i="11"/>
  <c r="H101" i="11"/>
  <c r="N100" i="11"/>
  <c r="U66" i="1" s="1"/>
  <c r="I100" i="11"/>
  <c r="H100" i="11"/>
  <c r="N99" i="11"/>
  <c r="U49" i="1" s="1"/>
  <c r="I99" i="11"/>
  <c r="H99" i="11"/>
  <c r="N98" i="11"/>
  <c r="U27" i="1" s="1"/>
  <c r="I98" i="11"/>
  <c r="H98" i="11"/>
  <c r="N97" i="11"/>
  <c r="U29" i="1" s="1"/>
  <c r="I97" i="11"/>
  <c r="H97" i="11"/>
  <c r="N96" i="11"/>
  <c r="U78" i="1" s="1"/>
  <c r="I96" i="11"/>
  <c r="H96" i="11"/>
  <c r="N95" i="11"/>
  <c r="U132" i="1" s="1"/>
  <c r="I95" i="11"/>
  <c r="H95" i="11"/>
  <c r="N94" i="11"/>
  <c r="U50" i="1" s="1"/>
  <c r="I94" i="11"/>
  <c r="H94" i="11"/>
  <c r="N93" i="11"/>
  <c r="U31" i="1" s="1"/>
  <c r="I93" i="11"/>
  <c r="H93" i="11"/>
  <c r="N92" i="11"/>
  <c r="U79" i="1" s="1"/>
  <c r="I92" i="11"/>
  <c r="H92" i="11"/>
  <c r="N91" i="11"/>
  <c r="U90" i="1" s="1"/>
  <c r="I91" i="11"/>
  <c r="H91" i="11"/>
  <c r="N90" i="11"/>
  <c r="U107" i="1" s="1"/>
  <c r="I90" i="11"/>
  <c r="H90" i="11"/>
  <c r="N89" i="11"/>
  <c r="U20" i="1" s="1"/>
  <c r="I89" i="11"/>
  <c r="H89" i="11"/>
  <c r="N88" i="11"/>
  <c r="U10" i="1" s="1"/>
  <c r="H88" i="11"/>
  <c r="N87" i="11"/>
  <c r="U86" i="1" s="1"/>
  <c r="I87" i="11"/>
  <c r="H87" i="11"/>
  <c r="N86" i="11"/>
  <c r="U34" i="1" s="1"/>
  <c r="I86" i="11"/>
  <c r="H86" i="11"/>
  <c r="N85" i="11"/>
  <c r="U123" i="1" s="1"/>
  <c r="I85" i="11"/>
  <c r="H85" i="11"/>
  <c r="N84" i="11"/>
  <c r="U5" i="1" s="1"/>
  <c r="I84" i="11"/>
  <c r="H84" i="11"/>
  <c r="N83" i="11"/>
  <c r="U135" i="1" s="1"/>
  <c r="I83" i="11"/>
  <c r="H83" i="11"/>
  <c r="N82" i="11"/>
  <c r="U96" i="1" s="1"/>
  <c r="I82" i="11"/>
  <c r="H82" i="11"/>
  <c r="N81" i="11"/>
  <c r="U109" i="1" s="1"/>
  <c r="I81" i="11"/>
  <c r="H81" i="11"/>
  <c r="N80" i="11"/>
  <c r="U62" i="1" s="1"/>
  <c r="I80" i="11"/>
  <c r="H80" i="11"/>
  <c r="N78" i="11"/>
  <c r="U59" i="1" s="1"/>
  <c r="I78" i="11"/>
  <c r="H78" i="11"/>
  <c r="N77" i="11"/>
  <c r="U142" i="1" s="1"/>
  <c r="I77" i="11"/>
  <c r="H77" i="11"/>
  <c r="N76" i="11"/>
  <c r="U30" i="1" s="1"/>
  <c r="I76" i="11"/>
  <c r="H76" i="11"/>
  <c r="N75" i="11"/>
  <c r="U108" i="1" s="1"/>
  <c r="I75" i="11"/>
  <c r="H75" i="11"/>
  <c r="N74" i="11"/>
  <c r="U112" i="1" s="1"/>
  <c r="I74" i="11"/>
  <c r="H74" i="11"/>
  <c r="N73" i="11"/>
  <c r="U6" i="1" s="1"/>
  <c r="I73" i="11"/>
  <c r="H73" i="11"/>
  <c r="N72" i="11"/>
  <c r="U21" i="1" s="1"/>
  <c r="I72" i="11"/>
  <c r="H72" i="11"/>
  <c r="N71" i="11"/>
  <c r="U87" i="1" s="1"/>
  <c r="I71" i="11"/>
  <c r="H71" i="11"/>
  <c r="N70" i="11"/>
  <c r="U140" i="1" s="1"/>
  <c r="I70" i="11"/>
  <c r="H70" i="11"/>
  <c r="N69" i="11"/>
  <c r="U85" i="1" s="1"/>
  <c r="I69" i="11"/>
  <c r="H69" i="11"/>
  <c r="N68" i="11"/>
  <c r="U130" i="1" s="1"/>
  <c r="I68" i="11"/>
  <c r="H68" i="11"/>
  <c r="N67" i="11"/>
  <c r="U4" i="1" s="1"/>
  <c r="I67" i="11"/>
  <c r="H67" i="11"/>
  <c r="N66" i="11"/>
  <c r="U82" i="1" s="1"/>
  <c r="I66" i="11"/>
  <c r="H66" i="11"/>
  <c r="N65" i="11"/>
  <c r="U24" i="1" s="1"/>
  <c r="I65" i="11"/>
  <c r="H65" i="11"/>
  <c r="N64" i="11"/>
  <c r="U101" i="1" s="1"/>
  <c r="I64" i="11"/>
  <c r="H64" i="11"/>
  <c r="N63" i="11"/>
  <c r="U110" i="1" s="1"/>
  <c r="I63" i="11"/>
  <c r="H63" i="11"/>
  <c r="N62" i="11"/>
  <c r="U23" i="1" s="1"/>
  <c r="I62" i="11"/>
  <c r="H62" i="11"/>
  <c r="N61" i="11"/>
  <c r="U64" i="1" s="1"/>
  <c r="I61" i="11"/>
  <c r="H61" i="11"/>
  <c r="N60" i="11"/>
  <c r="U89" i="1" s="1"/>
  <c r="I60" i="11"/>
  <c r="H60" i="11"/>
  <c r="N59" i="11"/>
  <c r="U60" i="1" s="1"/>
  <c r="I59" i="11"/>
  <c r="H59" i="11"/>
  <c r="N58" i="11"/>
  <c r="U57" i="1" s="1"/>
  <c r="I58" i="11"/>
  <c r="H58" i="11"/>
  <c r="N57" i="11"/>
  <c r="U124" i="1" s="1"/>
  <c r="I57" i="11"/>
  <c r="H57" i="11"/>
  <c r="N56" i="11"/>
  <c r="U16" i="1" s="1"/>
  <c r="I56" i="11"/>
  <c r="H56" i="11"/>
  <c r="N55" i="11"/>
  <c r="U52" i="1" s="1"/>
  <c r="I55" i="11"/>
  <c r="H55" i="11"/>
  <c r="N54" i="11"/>
  <c r="U100" i="1" s="1"/>
  <c r="I54" i="11"/>
  <c r="H54" i="11"/>
  <c r="N53" i="11"/>
  <c r="U80" i="1" s="1"/>
  <c r="I53" i="11"/>
  <c r="H53" i="11"/>
  <c r="N52" i="11"/>
  <c r="U53" i="1" s="1"/>
  <c r="I52" i="11"/>
  <c r="H52" i="11"/>
  <c r="N51" i="11"/>
  <c r="U14" i="1" s="1"/>
  <c r="I51" i="11"/>
  <c r="H51" i="11"/>
  <c r="N50" i="11"/>
  <c r="U43" i="1" s="1"/>
  <c r="I50" i="11"/>
  <c r="H50" i="11"/>
  <c r="N49" i="11"/>
  <c r="U11" i="1" s="1"/>
  <c r="I49" i="11"/>
  <c r="H49" i="11"/>
  <c r="N48" i="11"/>
  <c r="U99" i="1" s="1"/>
  <c r="I48" i="11"/>
  <c r="H48" i="11"/>
  <c r="N47" i="11"/>
  <c r="U134" i="1" s="1"/>
  <c r="I47" i="11"/>
  <c r="H47" i="11"/>
  <c r="N46" i="11"/>
  <c r="U22" i="1" s="1"/>
  <c r="I46" i="11"/>
  <c r="H46" i="11"/>
  <c r="N45" i="11"/>
  <c r="U2" i="1" s="1"/>
  <c r="I45" i="11"/>
  <c r="H45" i="11"/>
  <c r="N44" i="11"/>
  <c r="U72" i="1" s="1"/>
  <c r="I44" i="11"/>
  <c r="H44" i="11"/>
  <c r="N43" i="11"/>
  <c r="U129" i="1" s="1"/>
  <c r="I43" i="11"/>
  <c r="H43" i="11"/>
  <c r="N42" i="11"/>
  <c r="U93" i="1" s="1"/>
  <c r="I42" i="11"/>
  <c r="H42" i="11"/>
  <c r="N41" i="11"/>
  <c r="U56" i="1" s="1"/>
  <c r="I41" i="11"/>
  <c r="H41" i="11"/>
  <c r="N40" i="11"/>
  <c r="U15" i="1" s="1"/>
  <c r="I40" i="11"/>
  <c r="H40" i="11"/>
  <c r="N39" i="11"/>
  <c r="U39" i="1" s="1"/>
  <c r="I39" i="11"/>
  <c r="H39" i="11"/>
  <c r="N38" i="11"/>
  <c r="U137" i="1" s="1"/>
  <c r="I38" i="11"/>
  <c r="H38" i="11"/>
  <c r="N37" i="11"/>
  <c r="U111" i="1" s="1"/>
  <c r="I37" i="11"/>
  <c r="H37" i="11"/>
  <c r="N36" i="11"/>
  <c r="U40" i="1" s="1"/>
  <c r="I36" i="11"/>
  <c r="H36" i="11"/>
  <c r="N35" i="11"/>
  <c r="U118" i="1" s="1"/>
  <c r="I35" i="11"/>
  <c r="H35" i="11"/>
  <c r="N34" i="11"/>
  <c r="U54" i="1" s="1"/>
  <c r="I34" i="11"/>
  <c r="H34" i="11"/>
  <c r="N33" i="11"/>
  <c r="U63" i="1" s="1"/>
  <c r="I33" i="11"/>
  <c r="H33" i="11"/>
  <c r="N32" i="11"/>
  <c r="U104" i="1" s="1"/>
  <c r="I32" i="11"/>
  <c r="H32" i="11"/>
  <c r="N31" i="11"/>
  <c r="U46" i="1" s="1"/>
  <c r="I31" i="11"/>
  <c r="H31" i="11"/>
  <c r="N30" i="11"/>
  <c r="U37" i="1" s="1"/>
  <c r="I30" i="11"/>
  <c r="H30" i="11"/>
  <c r="N29" i="11"/>
  <c r="U136" i="1" s="1"/>
  <c r="I29" i="11"/>
  <c r="H29" i="11"/>
  <c r="N28" i="11"/>
  <c r="U81" i="1" s="1"/>
  <c r="I28" i="11"/>
  <c r="H28" i="11"/>
  <c r="N27" i="11"/>
  <c r="U126" i="1" s="1"/>
  <c r="I27" i="11"/>
  <c r="H27" i="11"/>
  <c r="N26" i="11"/>
  <c r="U115" i="1" s="1"/>
  <c r="I26" i="11"/>
  <c r="H26" i="11"/>
  <c r="N25" i="11"/>
  <c r="U133" i="1" s="1"/>
  <c r="I25" i="11"/>
  <c r="H25" i="11"/>
  <c r="N24" i="11"/>
  <c r="U74" i="1" s="1"/>
  <c r="I24" i="11"/>
  <c r="H24" i="11"/>
  <c r="N23" i="11"/>
  <c r="U125" i="1" s="1"/>
  <c r="I23" i="11"/>
  <c r="H23" i="11"/>
  <c r="N22" i="11"/>
  <c r="U71" i="1" s="1"/>
  <c r="I22" i="11"/>
  <c r="H22" i="11"/>
  <c r="N21" i="11"/>
  <c r="U139" i="1" s="1"/>
  <c r="I21" i="11"/>
  <c r="H21" i="11"/>
  <c r="N20" i="11"/>
  <c r="U94" i="1" s="1"/>
  <c r="I20" i="11"/>
  <c r="H20" i="11"/>
  <c r="N19" i="11"/>
  <c r="U98" i="1" s="1"/>
  <c r="I19" i="11"/>
  <c r="H19" i="11"/>
  <c r="N18" i="11"/>
  <c r="U117" i="1" s="1"/>
  <c r="I18" i="11"/>
  <c r="H18" i="11"/>
  <c r="N17" i="11"/>
  <c r="U9" i="1" s="1"/>
  <c r="I17" i="11"/>
  <c r="H17" i="11"/>
  <c r="N16" i="11"/>
  <c r="U67" i="1" s="1"/>
  <c r="I16" i="11"/>
  <c r="H16" i="11"/>
  <c r="N15" i="11"/>
  <c r="U143" i="1" s="1"/>
  <c r="I15" i="11"/>
  <c r="H15" i="11"/>
  <c r="N14" i="11"/>
  <c r="U83" i="1" s="1"/>
  <c r="I14" i="11"/>
  <c r="H14" i="11"/>
  <c r="N13" i="11"/>
  <c r="U113" i="1" s="1"/>
  <c r="I13" i="11"/>
  <c r="H13" i="11"/>
  <c r="N12" i="11"/>
  <c r="U32" i="1" s="1"/>
  <c r="I12" i="11"/>
  <c r="H12" i="11"/>
  <c r="N11" i="11"/>
  <c r="U41" i="1" s="1"/>
  <c r="I11" i="11"/>
  <c r="H11" i="11"/>
  <c r="N10" i="11"/>
  <c r="U45" i="1" s="1"/>
  <c r="I10" i="11"/>
  <c r="H10" i="11"/>
  <c r="N9" i="11"/>
  <c r="U105" i="1" s="1"/>
  <c r="I9" i="11"/>
  <c r="H9" i="11"/>
  <c r="N8" i="11"/>
  <c r="U28" i="1" s="1"/>
  <c r="I8" i="11"/>
  <c r="H8" i="11"/>
  <c r="N7" i="11"/>
  <c r="U13" i="1" s="1"/>
  <c r="I7" i="11"/>
  <c r="H7" i="11"/>
  <c r="N6" i="11"/>
  <c r="U35" i="1" s="1"/>
  <c r="I6" i="11"/>
  <c r="H6" i="11"/>
  <c r="N5" i="11"/>
  <c r="U17" i="1" s="1"/>
  <c r="I5" i="11"/>
  <c r="H5" i="11"/>
  <c r="N4" i="11"/>
  <c r="U25" i="1" s="1"/>
  <c r="I4" i="11"/>
  <c r="H4" i="11"/>
  <c r="N3" i="11"/>
  <c r="U131" i="1" s="1"/>
  <c r="I3" i="11"/>
  <c r="H3" i="11"/>
  <c r="I2" i="11"/>
  <c r="L2" i="11" s="1"/>
  <c r="H2" i="11"/>
  <c r="K2" i="11" s="1"/>
  <c r="J4" i="11" l="1"/>
  <c r="L4" i="11"/>
  <c r="J12" i="11"/>
  <c r="L12" i="11"/>
  <c r="K15" i="11"/>
  <c r="M15" i="11"/>
  <c r="M23" i="11"/>
  <c r="K23" i="11"/>
  <c r="J24" i="11"/>
  <c r="L24" i="11"/>
  <c r="M31" i="11"/>
  <c r="K31" i="11"/>
  <c r="J44" i="11"/>
  <c r="L44" i="11"/>
  <c r="M47" i="11"/>
  <c r="K47" i="11"/>
  <c r="M51" i="11"/>
  <c r="K51" i="11"/>
  <c r="J56" i="11"/>
  <c r="L56" i="11"/>
  <c r="L64" i="11"/>
  <c r="J64" i="11"/>
  <c r="M71" i="11"/>
  <c r="K71" i="11"/>
  <c r="L76" i="11"/>
  <c r="J76" i="11"/>
  <c r="L81" i="11"/>
  <c r="J81" i="11"/>
  <c r="L85" i="11"/>
  <c r="J85" i="11"/>
  <c r="M91" i="11"/>
  <c r="K91" i="11"/>
  <c r="L96" i="11"/>
  <c r="J96" i="11"/>
  <c r="L100" i="11"/>
  <c r="J100" i="11"/>
  <c r="K103" i="11"/>
  <c r="M103" i="11"/>
  <c r="K107" i="11"/>
  <c r="M107" i="11"/>
  <c r="K116" i="11"/>
  <c r="M116" i="11"/>
  <c r="L121" i="11"/>
  <c r="J121" i="11"/>
  <c r="L125" i="11"/>
  <c r="J125" i="11"/>
  <c r="K128" i="11"/>
  <c r="M128" i="11"/>
  <c r="K136" i="11"/>
  <c r="M136" i="11"/>
  <c r="J141" i="11"/>
  <c r="L141" i="11"/>
  <c r="J3" i="11"/>
  <c r="L3" i="11"/>
  <c r="K6" i="11"/>
  <c r="M6" i="11"/>
  <c r="J7" i="11"/>
  <c r="L7" i="11"/>
  <c r="K10" i="11"/>
  <c r="M10" i="11"/>
  <c r="J11" i="11"/>
  <c r="L11" i="11"/>
  <c r="K14" i="11"/>
  <c r="M14" i="11"/>
  <c r="J15" i="11"/>
  <c r="L15" i="11"/>
  <c r="K18" i="11"/>
  <c r="M18" i="11"/>
  <c r="J19" i="11"/>
  <c r="L19" i="11"/>
  <c r="K22" i="11"/>
  <c r="M22" i="11"/>
  <c r="J23" i="11"/>
  <c r="L23" i="11"/>
  <c r="K26" i="11"/>
  <c r="M26" i="11"/>
  <c r="J27" i="11"/>
  <c r="L27" i="11"/>
  <c r="K30" i="11"/>
  <c r="M30" i="11"/>
  <c r="J31" i="11"/>
  <c r="L31" i="11"/>
  <c r="K34" i="11"/>
  <c r="M34" i="11"/>
  <c r="J35" i="11"/>
  <c r="L35" i="11"/>
  <c r="K38" i="11"/>
  <c r="M38" i="11"/>
  <c r="J39" i="11"/>
  <c r="L39" i="11"/>
  <c r="K42" i="11"/>
  <c r="M42" i="11"/>
  <c r="J43" i="11"/>
  <c r="L43" i="11"/>
  <c r="K46" i="11"/>
  <c r="M46" i="11"/>
  <c r="J47" i="11"/>
  <c r="L47" i="11"/>
  <c r="K50" i="11"/>
  <c r="M50" i="11"/>
  <c r="J51" i="11"/>
  <c r="L51" i="11"/>
  <c r="K54" i="11"/>
  <c r="M54" i="11"/>
  <c r="J55" i="11"/>
  <c r="L55" i="11"/>
  <c r="K58" i="11"/>
  <c r="M58" i="11"/>
  <c r="J59" i="11"/>
  <c r="L59" i="11"/>
  <c r="K62" i="11"/>
  <c r="M62" i="11"/>
  <c r="J63" i="11"/>
  <c r="L63" i="11"/>
  <c r="K66" i="11"/>
  <c r="M66" i="11"/>
  <c r="L67" i="11"/>
  <c r="J67" i="11"/>
  <c r="K70" i="11"/>
  <c r="M70" i="11"/>
  <c r="L71" i="11"/>
  <c r="J71" i="11"/>
  <c r="K74" i="11"/>
  <c r="M74" i="11"/>
  <c r="L75" i="11"/>
  <c r="J75" i="11"/>
  <c r="K78" i="11"/>
  <c r="M78" i="11"/>
  <c r="L80" i="11"/>
  <c r="J80" i="11"/>
  <c r="K83" i="11"/>
  <c r="M83" i="11"/>
  <c r="L84" i="11"/>
  <c r="J84" i="11"/>
  <c r="K87" i="11"/>
  <c r="M87" i="11"/>
  <c r="M90" i="11"/>
  <c r="K90" i="11"/>
  <c r="L91" i="11"/>
  <c r="J91" i="11"/>
  <c r="K94" i="11"/>
  <c r="M94" i="11"/>
  <c r="L95" i="11"/>
  <c r="J95" i="11"/>
  <c r="K98" i="11"/>
  <c r="M98" i="11"/>
  <c r="L99" i="11"/>
  <c r="J99" i="11"/>
  <c r="K102" i="11"/>
  <c r="M102" i="11"/>
  <c r="L103" i="11"/>
  <c r="J103" i="11"/>
  <c r="K106" i="11"/>
  <c r="M106" i="11"/>
  <c r="L107" i="11"/>
  <c r="J107" i="11"/>
  <c r="K111" i="11"/>
  <c r="M111" i="11"/>
  <c r="L112" i="11"/>
  <c r="J112" i="11"/>
  <c r="K115" i="11"/>
  <c r="M115" i="11"/>
  <c r="L116" i="11"/>
  <c r="J116" i="11"/>
  <c r="K119" i="11"/>
  <c r="M119" i="11"/>
  <c r="L120" i="11"/>
  <c r="J120" i="11"/>
  <c r="K123" i="11"/>
  <c r="M123" i="11"/>
  <c r="L124" i="11"/>
  <c r="J124" i="11"/>
  <c r="M127" i="11"/>
  <c r="K127" i="11"/>
  <c r="L128" i="11"/>
  <c r="J128" i="11"/>
  <c r="K131" i="11"/>
  <c r="M131" i="11"/>
  <c r="J132" i="11"/>
  <c r="L132" i="11"/>
  <c r="K135" i="11"/>
  <c r="M135" i="11"/>
  <c r="J136" i="11"/>
  <c r="L136" i="11"/>
  <c r="K139" i="11"/>
  <c r="M139" i="11"/>
  <c r="J140" i="11"/>
  <c r="L140" i="11"/>
  <c r="K143" i="11"/>
  <c r="M143" i="11"/>
  <c r="J144" i="11"/>
  <c r="L144" i="11"/>
  <c r="J8" i="11"/>
  <c r="L8" i="11"/>
  <c r="M19" i="11"/>
  <c r="K19" i="11"/>
  <c r="M27" i="11"/>
  <c r="K27" i="11"/>
  <c r="J32" i="11"/>
  <c r="L32" i="11"/>
  <c r="J36" i="11"/>
  <c r="L36" i="11"/>
  <c r="J40" i="11"/>
  <c r="L40" i="11"/>
  <c r="J52" i="11"/>
  <c r="L52" i="11"/>
  <c r="M63" i="11"/>
  <c r="K63" i="11"/>
  <c r="L68" i="11"/>
  <c r="J68" i="11"/>
  <c r="M75" i="11"/>
  <c r="K75" i="11"/>
  <c r="L92" i="11"/>
  <c r="J92" i="11"/>
  <c r="K99" i="11"/>
  <c r="M99" i="11"/>
  <c r="L104" i="11"/>
  <c r="J104" i="11"/>
  <c r="L108" i="11"/>
  <c r="J108" i="11"/>
  <c r="L113" i="11"/>
  <c r="J113" i="11"/>
  <c r="L117" i="11"/>
  <c r="J117" i="11"/>
  <c r="K124" i="11"/>
  <c r="M124" i="11"/>
  <c r="M132" i="11"/>
  <c r="K132" i="11"/>
  <c r="J137" i="11"/>
  <c r="L137" i="11"/>
  <c r="M144" i="11"/>
  <c r="K144" i="11"/>
  <c r="K5" i="11"/>
  <c r="M5" i="11"/>
  <c r="J6" i="11"/>
  <c r="L6" i="11"/>
  <c r="K9" i="11"/>
  <c r="M9" i="11"/>
  <c r="J10" i="11"/>
  <c r="L10" i="11"/>
  <c r="K13" i="11"/>
  <c r="M13" i="11"/>
  <c r="J14" i="11"/>
  <c r="L14" i="11"/>
  <c r="M17" i="11"/>
  <c r="K17" i="11"/>
  <c r="J18" i="11"/>
  <c r="L18" i="11"/>
  <c r="M21" i="11"/>
  <c r="K21" i="11"/>
  <c r="J22" i="11"/>
  <c r="L22" i="11"/>
  <c r="M25" i="11"/>
  <c r="K25" i="11"/>
  <c r="J26" i="11"/>
  <c r="L26" i="11"/>
  <c r="M29" i="11"/>
  <c r="K29" i="11"/>
  <c r="J30" i="11"/>
  <c r="L30" i="11"/>
  <c r="M33" i="11"/>
  <c r="K33" i="11"/>
  <c r="J34" i="11"/>
  <c r="L34" i="11"/>
  <c r="M37" i="11"/>
  <c r="K37" i="11"/>
  <c r="J38" i="11"/>
  <c r="L38" i="11"/>
  <c r="M41" i="11"/>
  <c r="K41" i="11"/>
  <c r="J42" i="11"/>
  <c r="L42" i="11"/>
  <c r="M45" i="11"/>
  <c r="K45" i="11"/>
  <c r="J46" i="11"/>
  <c r="L46" i="11"/>
  <c r="M49" i="11"/>
  <c r="K49" i="11"/>
  <c r="J50" i="11"/>
  <c r="L50" i="11"/>
  <c r="M53" i="11"/>
  <c r="K53" i="11"/>
  <c r="J54" i="11"/>
  <c r="L54" i="11"/>
  <c r="M57" i="11"/>
  <c r="K57" i="11"/>
  <c r="J58" i="11"/>
  <c r="L58" i="11"/>
  <c r="M61" i="11"/>
  <c r="K61" i="11"/>
  <c r="J62" i="11"/>
  <c r="L62" i="11"/>
  <c r="K65" i="11"/>
  <c r="M65" i="11"/>
  <c r="L66" i="11"/>
  <c r="J66" i="11"/>
  <c r="K69" i="11"/>
  <c r="M69" i="11"/>
  <c r="L70" i="11"/>
  <c r="J70" i="11"/>
  <c r="K73" i="11"/>
  <c r="M73" i="11"/>
  <c r="L74" i="11"/>
  <c r="J74" i="11"/>
  <c r="K77" i="11"/>
  <c r="M77" i="11"/>
  <c r="L78" i="11"/>
  <c r="J78" i="11"/>
  <c r="K82" i="11"/>
  <c r="M82" i="11"/>
  <c r="L83" i="11"/>
  <c r="J83" i="11"/>
  <c r="K86" i="11"/>
  <c r="M86" i="11"/>
  <c r="L87" i="11"/>
  <c r="J87" i="11"/>
  <c r="M89" i="11"/>
  <c r="K89" i="11"/>
  <c r="L90" i="11"/>
  <c r="J90" i="11"/>
  <c r="K93" i="11"/>
  <c r="M93" i="11"/>
  <c r="L94" i="11"/>
  <c r="J94" i="11"/>
  <c r="K97" i="11"/>
  <c r="M97" i="11"/>
  <c r="L98" i="11"/>
  <c r="J98" i="11"/>
  <c r="K101" i="11"/>
  <c r="M101" i="11"/>
  <c r="L102" i="11"/>
  <c r="J102" i="11"/>
  <c r="K105" i="11"/>
  <c r="M105" i="11"/>
  <c r="L106" i="11"/>
  <c r="J106" i="11"/>
  <c r="K110" i="11"/>
  <c r="M110" i="11"/>
  <c r="L111" i="11"/>
  <c r="J111" i="11"/>
  <c r="K114" i="11"/>
  <c r="M114" i="11"/>
  <c r="L115" i="11"/>
  <c r="J115" i="11"/>
  <c r="K118" i="11"/>
  <c r="M118" i="11"/>
  <c r="L119" i="11"/>
  <c r="J119" i="11"/>
  <c r="K122" i="11"/>
  <c r="M122" i="11"/>
  <c r="L123" i="11"/>
  <c r="J123" i="11"/>
  <c r="K126" i="11"/>
  <c r="M126" i="11"/>
  <c r="L127" i="11"/>
  <c r="J127" i="11"/>
  <c r="K130" i="11"/>
  <c r="M130" i="11"/>
  <c r="J131" i="11"/>
  <c r="L131" i="11"/>
  <c r="K134" i="11"/>
  <c r="M134" i="11"/>
  <c r="J135" i="11"/>
  <c r="L135" i="11"/>
  <c r="K138" i="11"/>
  <c r="M138" i="11"/>
  <c r="J139" i="11"/>
  <c r="L139" i="11"/>
  <c r="K142" i="11"/>
  <c r="M142" i="11"/>
  <c r="J143" i="11"/>
  <c r="L143" i="11"/>
  <c r="K3" i="11"/>
  <c r="M3" i="11"/>
  <c r="K7" i="11"/>
  <c r="M7" i="11"/>
  <c r="K11" i="11"/>
  <c r="M11" i="11"/>
  <c r="J16" i="11"/>
  <c r="L16" i="11"/>
  <c r="J20" i="11"/>
  <c r="L20" i="11"/>
  <c r="J28" i="11"/>
  <c r="L28" i="11"/>
  <c r="M35" i="11"/>
  <c r="K35" i="11"/>
  <c r="M39" i="11"/>
  <c r="K39" i="11"/>
  <c r="M43" i="11"/>
  <c r="K43" i="11"/>
  <c r="J48" i="11"/>
  <c r="L48" i="11"/>
  <c r="M55" i="11"/>
  <c r="K55" i="11"/>
  <c r="M59" i="11"/>
  <c r="K59" i="11"/>
  <c r="J60" i="11"/>
  <c r="L60" i="11"/>
  <c r="M67" i="11"/>
  <c r="K67" i="11"/>
  <c r="L72" i="11"/>
  <c r="J72" i="11"/>
  <c r="M80" i="11"/>
  <c r="K80" i="11"/>
  <c r="M84" i="11"/>
  <c r="K84" i="11"/>
  <c r="M88" i="11"/>
  <c r="K88" i="11"/>
  <c r="K95" i="11"/>
  <c r="M95" i="11"/>
  <c r="K112" i="11"/>
  <c r="M112" i="11"/>
  <c r="K120" i="11"/>
  <c r="M120" i="11"/>
  <c r="J129" i="11"/>
  <c r="L129" i="11"/>
  <c r="J133" i="11"/>
  <c r="L133" i="11"/>
  <c r="K140" i="11"/>
  <c r="M140" i="11"/>
  <c r="K4" i="11"/>
  <c r="M4" i="11"/>
  <c r="J5" i="11"/>
  <c r="L5" i="11"/>
  <c r="K8" i="11"/>
  <c r="M8" i="11"/>
  <c r="J9" i="11"/>
  <c r="L9" i="11"/>
  <c r="K12" i="11"/>
  <c r="M12" i="11"/>
  <c r="J13" i="11"/>
  <c r="L13" i="11"/>
  <c r="K16" i="11"/>
  <c r="M16" i="11"/>
  <c r="J17" i="11"/>
  <c r="L17" i="11"/>
  <c r="K20" i="11"/>
  <c r="M20" i="11"/>
  <c r="J21" i="11"/>
  <c r="L21" i="11"/>
  <c r="K24" i="11"/>
  <c r="M24" i="11"/>
  <c r="J25" i="11"/>
  <c r="L25" i="11"/>
  <c r="K28" i="11"/>
  <c r="M28" i="11"/>
  <c r="J29" i="11"/>
  <c r="L29" i="11"/>
  <c r="K32" i="11"/>
  <c r="M32" i="11"/>
  <c r="J33" i="11"/>
  <c r="L33" i="11"/>
  <c r="K36" i="11"/>
  <c r="M36" i="11"/>
  <c r="J37" i="11"/>
  <c r="L37" i="11"/>
  <c r="K40" i="11"/>
  <c r="M40" i="11"/>
  <c r="J41" i="11"/>
  <c r="L41" i="11"/>
  <c r="K44" i="11"/>
  <c r="M44" i="11"/>
  <c r="J45" i="11"/>
  <c r="L45" i="11"/>
  <c r="K48" i="11"/>
  <c r="M48" i="11"/>
  <c r="J49" i="11"/>
  <c r="L49" i="11"/>
  <c r="K52" i="11"/>
  <c r="M52" i="11"/>
  <c r="J53" i="11"/>
  <c r="L53" i="11"/>
  <c r="K56" i="11"/>
  <c r="M56" i="11"/>
  <c r="J57" i="11"/>
  <c r="L57" i="11"/>
  <c r="K60" i="11"/>
  <c r="M60" i="11"/>
  <c r="J61" i="11"/>
  <c r="L61" i="11"/>
  <c r="K64" i="11"/>
  <c r="M64" i="11"/>
  <c r="L65" i="11"/>
  <c r="J65" i="11"/>
  <c r="K68" i="11"/>
  <c r="M68" i="11"/>
  <c r="L69" i="11"/>
  <c r="J69" i="11"/>
  <c r="K72" i="11"/>
  <c r="M72" i="11"/>
  <c r="L73" i="11"/>
  <c r="J73" i="11"/>
  <c r="K76" i="11"/>
  <c r="M76" i="11"/>
  <c r="L77" i="11"/>
  <c r="J77" i="11"/>
  <c r="K81" i="11"/>
  <c r="M81" i="11"/>
  <c r="L82" i="11"/>
  <c r="J82" i="11"/>
  <c r="K85" i="11"/>
  <c r="M85" i="11"/>
  <c r="L86" i="11"/>
  <c r="J86" i="11"/>
  <c r="L89" i="11"/>
  <c r="J89" i="11"/>
  <c r="M92" i="11"/>
  <c r="K92" i="11"/>
  <c r="L93" i="11"/>
  <c r="J93" i="11"/>
  <c r="K96" i="11"/>
  <c r="M96" i="11"/>
  <c r="L97" i="11"/>
  <c r="J97" i="11"/>
  <c r="K100" i="11"/>
  <c r="M100" i="11"/>
  <c r="L101" i="11"/>
  <c r="J101" i="11"/>
  <c r="M104" i="11"/>
  <c r="K104" i="11"/>
  <c r="L105" i="11"/>
  <c r="J105" i="11"/>
  <c r="K108" i="11"/>
  <c r="M108" i="11"/>
  <c r="L110" i="11"/>
  <c r="J110" i="11"/>
  <c r="K113" i="11"/>
  <c r="M113" i="11"/>
  <c r="L114" i="11"/>
  <c r="J114" i="11"/>
  <c r="K117" i="11"/>
  <c r="M117" i="11"/>
  <c r="L118" i="11"/>
  <c r="J118" i="11"/>
  <c r="K121" i="11"/>
  <c r="M121" i="11"/>
  <c r="L122" i="11"/>
  <c r="J122" i="11"/>
  <c r="K125" i="11"/>
  <c r="M125" i="11"/>
  <c r="L126" i="11"/>
  <c r="J126" i="11"/>
  <c r="M129" i="11"/>
  <c r="K129" i="11"/>
  <c r="J130" i="11"/>
  <c r="L130" i="11"/>
  <c r="M133" i="11"/>
  <c r="K133" i="11"/>
  <c r="J134" i="11"/>
  <c r="L134" i="11"/>
  <c r="M137" i="11"/>
  <c r="K137" i="11"/>
  <c r="J138" i="11"/>
  <c r="L138" i="11"/>
  <c r="M141" i="11"/>
  <c r="K141" i="11"/>
  <c r="J142" i="11"/>
  <c r="L142" i="11"/>
  <c r="M2" i="11"/>
  <c r="J2" i="11"/>
  <c r="K146" i="11" l="1"/>
  <c r="L146" i="11"/>
  <c r="J146" i="11"/>
  <c r="M146" i="11"/>
  <c r="N14" i="1" l="1"/>
  <c r="G17" i="1"/>
  <c r="L17" i="1"/>
  <c r="H14" i="1"/>
  <c r="O14" i="1"/>
  <c r="O17" i="1"/>
  <c r="K17" i="1"/>
  <c r="J17" i="1"/>
  <c r="I17" i="1"/>
  <c r="N17" i="1"/>
  <c r="E17" i="1"/>
  <c r="F17" i="1"/>
  <c r="P14" i="1"/>
  <c r="C14" i="1"/>
  <c r="J14" i="1"/>
  <c r="F14" i="1"/>
  <c r="K14" i="1"/>
  <c r="D14" i="1"/>
  <c r="M14" i="1"/>
  <c r="C17" i="1"/>
  <c r="I14" i="1"/>
  <c r="D17" i="1"/>
  <c r="R17" i="1"/>
  <c r="G14" i="1"/>
  <c r="L14" i="1"/>
  <c r="C13" i="1"/>
  <c r="N13" i="1"/>
  <c r="H13" i="1"/>
  <c r="O13" i="1"/>
  <c r="L13" i="1"/>
  <c r="E16" i="1"/>
  <c r="C16" i="1"/>
  <c r="M13" i="1"/>
  <c r="M16" i="1"/>
  <c r="G16" i="1"/>
  <c r="J13" i="1"/>
  <c r="I16" i="1"/>
  <c r="E13" i="1"/>
  <c r="G13" i="1"/>
  <c r="P13" i="1"/>
  <c r="I13" i="1"/>
  <c r="K16" i="1"/>
  <c r="F13" i="1"/>
  <c r="H16" i="1"/>
  <c r="D13" i="1"/>
  <c r="R13" i="1"/>
  <c r="K13" i="1"/>
  <c r="O16" i="1"/>
  <c r="R16" i="1"/>
  <c r="P16" i="1"/>
  <c r="L16" i="1"/>
  <c r="M17" i="1"/>
  <c r="P17" i="1"/>
  <c r="R14" i="1"/>
  <c r="F16" i="1"/>
  <c r="E14" i="1"/>
  <c r="J16" i="1"/>
  <c r="D16" i="1"/>
  <c r="H17" i="1"/>
  <c r="N16" i="1"/>
  <c r="J15" i="1" l="1"/>
  <c r="E15" i="1"/>
  <c r="M18" i="1"/>
  <c r="F18" i="1"/>
  <c r="Q18" i="1"/>
  <c r="J18" i="1"/>
  <c r="H18" i="1"/>
  <c r="C18" i="1"/>
  <c r="R18" i="1"/>
  <c r="K18" i="1"/>
  <c r="L18" i="1"/>
  <c r="D18" i="1"/>
  <c r="N18" i="1"/>
  <c r="O18" i="1"/>
  <c r="G18" i="1"/>
  <c r="P18" i="1"/>
  <c r="I18" i="1"/>
  <c r="E18" i="1"/>
  <c r="C15" i="1"/>
  <c r="D15" i="1"/>
  <c r="R15" i="1"/>
  <c r="H15" i="1"/>
  <c r="I15" i="1"/>
  <c r="O15" i="1"/>
  <c r="N15" i="1"/>
  <c r="K15" i="1"/>
  <c r="L15" i="1" l="1"/>
  <c r="M15" i="1"/>
  <c r="P15" i="1"/>
  <c r="F15" i="1"/>
  <c r="Q15" i="1"/>
  <c r="G15" i="1"/>
  <c r="J4" i="1" l="1"/>
  <c r="B17" i="1" l="1"/>
  <c r="B14" i="1"/>
  <c r="B13" i="1"/>
  <c r="B16" i="1"/>
  <c r="B18" i="1" l="1"/>
  <c r="B15" i="1"/>
</calcChain>
</file>

<file path=xl/sharedStrings.xml><?xml version="1.0" encoding="utf-8"?>
<sst xmlns="http://schemas.openxmlformats.org/spreadsheetml/2006/main" count="9382" uniqueCount="751">
  <si>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</si>
  <si>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</si>
  <si>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</si>
  <si>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</si>
  <si>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</si>
  <si>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</si>
  <si>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</si>
  <si>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</si>
  <si>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</si>
  <si>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</si>
  <si>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</si>
  <si>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</si>
  <si>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</si>
  <si>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</si>
  <si>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</si>
  <si>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</si>
  <si>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</si>
  <si>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</si>
  <si>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</si>
  <si>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</si>
  <si>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</si>
  <si>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</si>
  <si>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</si>
  <si>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</si>
  <si>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</si>
  <si>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</si>
  <si>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</si>
  <si>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</si>
  <si>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</si>
  <si>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</si>
  <si>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</si>
  <si>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</si>
  <si>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</si>
  <si>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</si>
  <si>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</si>
  <si>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</si>
  <si>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</si>
  <si>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</si>
  <si>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</si>
  <si>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</si>
  <si>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</si>
  <si>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</si>
  <si>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</si>
  <si>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</si>
  <si>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</si>
  <si>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</si>
  <si>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</si>
  <si>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</si>
  <si>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</si>
  <si>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</si>
  <si>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</si>
  <si>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</si>
  <si>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</si>
  <si>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</si>
  <si>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</si>
  <si>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</si>
  <si>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</si>
  <si>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</si>
  <si>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</si>
  <si>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</si>
  <si>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</si>
  <si>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</si>
  <si>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</si>
  <si>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</si>
  <si>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</si>
  <si>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</si>
  <si>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</si>
  <si>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</si>
  <si>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</si>
  <si>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</si>
  <si>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</si>
  <si>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</si>
  <si>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</si>
  <si>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</si>
  <si>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</si>
  <si>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</si>
  <si>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</si>
  <si>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</si>
  <si>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</si>
  <si>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</si>
  <si>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</si>
  <si>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</si>
  <si>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</si>
  <si>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</si>
  <si>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</si>
  <si>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</si>
  <si>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</si>
  <si>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</si>
  <si>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</si>
  <si>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</si>
  <si>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</si>
  <si>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</si>
  <si>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</si>
  <si>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</si>
  <si>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</si>
  <si>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</si>
  <si>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</si>
  <si>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</si>
  <si>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</si>
  <si>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</si>
  <si>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</si>
  <si>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</si>
  <si>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</si>
  <si>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</si>
  <si>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</si>
  <si>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</si>
  <si>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</si>
  <si>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</si>
  <si>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</si>
  <si>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</si>
  <si>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</si>
  <si>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</si>
  <si>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</si>
  <si>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</si>
  <si>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</si>
  <si>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</si>
  <si>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</si>
  <si>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</si>
  <si>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</si>
  <si>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</si>
  <si>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</si>
  <si>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</si>
  <si>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</si>
  <si>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</si>
  <si>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</si>
  <si>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</si>
  <si>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</si>
  <si>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</si>
  <si>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</si>
  <si>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</si>
  <si>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</si>
  <si>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</si>
  <si>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</si>
  <si>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</si>
  <si>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</si>
  <si>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</si>
  <si>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</si>
  <si>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</si>
  <si>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</si>
  <si>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</si>
  <si>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</si>
  <si>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</si>
  <si>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</si>
  <si>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</si>
  <si>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</si>
  <si>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</si>
  <si>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</si>
  <si>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</si>
  <si>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</si>
  <si>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</si>
  <si>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</si>
  <si>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</si>
  <si>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</si>
  <si>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</si>
  <si>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</si>
  <si>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</si>
  <si>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</si>
  <si>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</si>
  <si>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</si>
  <si>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</si>
  <si>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</si>
  <si>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</si>
  <si>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</si>
  <si>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</si>
  <si>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</si>
  <si>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</si>
  <si>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</si>
  <si>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</si>
  <si>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</si>
  <si>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</si>
  <si>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</si>
  <si>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</si>
  <si>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</si>
  <si>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</si>
  <si>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</si>
  <si>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</si>
  <si>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</si>
  <si>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</si>
  <si>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</si>
  <si>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</si>
  <si>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</si>
  <si>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</si>
  <si>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</si>
  <si>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</si>
  <si>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</si>
  <si>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</si>
  <si>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</si>
  <si>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</si>
  <si>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</si>
  <si>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</si>
  <si>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</si>
  <si>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</si>
  <si>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</si>
  <si>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</si>
  <si>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</si>
  <si>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</si>
  <si>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</si>
  <si>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</si>
  <si>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</si>
  <si>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</si>
  <si>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</si>
  <si>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</si>
  <si>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</si>
  <si>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</si>
  <si>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</si>
  <si>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</si>
  <si>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</si>
  <si>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</si>
  <si>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</si>
  <si>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</si>
  <si>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</si>
  <si>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</si>
  <si>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</si>
  <si>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</si>
  <si>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</si>
  <si>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</si>
  <si>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</si>
  <si>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</si>
  <si>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</si>
  <si>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</si>
  <si>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</si>
  <si>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</si>
  <si>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</si>
  <si>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</si>
  <si>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</si>
  <si>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</si>
  <si>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</si>
  <si>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</si>
  <si>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</si>
  <si>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</si>
  <si>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</si>
  <si>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</si>
  <si>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</si>
  <si>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</si>
  <si>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</si>
  <si>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</si>
  <si>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</si>
  <si>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</si>
  <si>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</si>
  <si>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</si>
  <si>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</si>
  <si>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</si>
  <si>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</si>
  <si>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</si>
  <si>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</si>
  <si>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</si>
  <si>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</si>
  <si>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</si>
  <si>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</si>
  <si>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</si>
  <si>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</si>
  <si>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</si>
  <si>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</si>
  <si>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</si>
  <si>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</si>
  <si>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</si>
  <si>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</si>
  <si>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</si>
  <si>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</si>
  <si>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</si>
  <si>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</si>
  <si>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</si>
  <si>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</si>
  <si>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</si>
  <si>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</si>
  <si>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</si>
  <si>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</si>
  <si>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</si>
  <si>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</si>
  <si>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</si>
  <si>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</si>
  <si>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</si>
  <si>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</si>
  <si>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</si>
  <si>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</si>
  <si>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</si>
  <si>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</si>
  <si>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</si>
  <si>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</si>
  <si>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</si>
  <si>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</si>
  <si>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</si>
  <si>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</si>
  <si>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</si>
  <si>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</si>
  <si>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</si>
  <si>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</si>
  <si>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</si>
  <si>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</si>
  <si>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</si>
  <si>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</si>
  <si>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</si>
  <si>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</si>
  <si>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</si>
  <si>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</si>
  <si>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</si>
  <si>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</si>
  <si>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</si>
  <si>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</si>
  <si>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</si>
  <si>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</si>
  <si>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</si>
  <si>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</si>
  <si>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</si>
  <si>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</si>
  <si>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</si>
  <si>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</si>
  <si>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</si>
  <si>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</si>
  <si>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</si>
  <si>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</si>
  <si>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</si>
  <si>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</si>
  <si>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</si>
  <si>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</si>
  <si>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</si>
  <si>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</si>
  <si>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</si>
  <si>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</si>
  <si>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</si>
  <si>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</si>
  <si>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</si>
  <si>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</si>
  <si>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</si>
  <si>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</si>
  <si>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</si>
  <si>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</si>
  <si>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</si>
  <si>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</si>
  <si>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</si>
  <si>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</si>
  <si>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</si>
  <si>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</si>
  <si>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</si>
  <si>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</si>
  <si>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</si>
  <si>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</si>
  <si>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</si>
  <si>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</si>
  <si>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</si>
  <si>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</si>
  <si>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</si>
  <si>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</si>
  <si>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</si>
  <si>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</si>
  <si>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</si>
  <si>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</si>
  <si>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</si>
  <si>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</si>
  <si>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</si>
  <si>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</si>
  <si>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</si>
  <si>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</si>
  <si>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</si>
  <si>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</si>
  <si>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</si>
  <si>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</si>
  <si>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</si>
  <si>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</si>
  <si>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</si>
  <si>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</si>
  <si>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</si>
  <si>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</si>
  <si>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</si>
  <si>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</si>
  <si>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</si>
  <si>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</si>
  <si>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</si>
  <si>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</si>
  <si>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</si>
  <si>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</si>
  <si>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</si>
  <si>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</si>
  <si>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</si>
  <si>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</si>
  <si>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</si>
  <si>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</si>
  <si>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</si>
  <si>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</si>
  <si>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</si>
  <si>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</si>
  <si>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</si>
  <si>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</si>
  <si>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</si>
  <si>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</si>
  <si>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</si>
  <si>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</si>
  <si>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</si>
  <si>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</si>
  <si>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</si>
  <si>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</si>
  <si>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</si>
  <si>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</si>
  <si>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</si>
  <si>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</si>
  <si>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</si>
  <si>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</si>
  <si>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</si>
  <si>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</si>
  <si>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</si>
  <si>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</si>
  <si>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</si>
  <si>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</si>
  <si>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</si>
  <si>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</si>
  <si>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</si>
  <si>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</si>
  <si>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</si>
  <si>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</si>
  <si>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</si>
  <si>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</si>
  <si>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</si>
  <si>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</si>
  <si>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</si>
  <si>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</si>
  <si>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</si>
  <si>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</si>
  <si>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</si>
  <si>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</si>
  <si>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</si>
  <si>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</si>
  <si>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</si>
  <si>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</si>
  <si>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</si>
  <si>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</si>
  <si>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</si>
  <si>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</si>
  <si>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</si>
  <si>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</si>
  <si>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</si>
  <si>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</si>
  <si>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</si>
  <si>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</si>
  <si>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</si>
  <si>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</si>
  <si>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</si>
  <si>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</si>
  <si>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</si>
  <si>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</si>
  <si>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</si>
  <si>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</si>
  <si>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</si>
  <si>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</si>
  <si>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</si>
  <si>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</si>
  <si>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</si>
  <si>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</si>
  <si>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</si>
  <si>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</si>
  <si>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</si>
  <si>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</si>
  <si>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</si>
  <si>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</si>
  <si>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</si>
  <si>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</si>
  <si>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</si>
  <si>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</si>
  <si>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</si>
  <si>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</si>
  <si>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</si>
  <si>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</si>
  <si>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</si>
  <si>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</si>
  <si>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</si>
  <si>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</si>
  <si>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</si>
  <si>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</si>
  <si>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</si>
  <si>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</si>
  <si>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</si>
  <si>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</si>
  <si>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</si>
  <si>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</si>
  <si>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</si>
  <si>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</si>
  <si>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</si>
  <si>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</si>
  <si>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</si>
  <si>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</si>
  <si>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</si>
  <si>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</si>
  <si>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</si>
  <si>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</si>
  <si>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</si>
  <si>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</si>
  <si>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</si>
  <si>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</si>
  <si>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</si>
  <si>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</si>
  <si>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</si>
  <si>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</si>
  <si>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</si>
  <si>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</si>
  <si>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</si>
  <si>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</si>
  <si>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</si>
  <si>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</si>
  <si>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</si>
  <si>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</si>
  <si>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</si>
  <si>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</si>
  <si>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</si>
  <si>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</si>
  <si>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</si>
  <si>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</si>
  <si>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</si>
  <si>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</si>
  <si>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</si>
  <si>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</si>
  <si>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</si>
  <si>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</si>
  <si>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</si>
  <si>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</si>
  <si>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</si>
  <si>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</si>
  <si>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</si>
  <si>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</si>
  <si>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</si>
  <si>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</si>
  <si>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</si>
  <si>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</si>
  <si>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</si>
  <si>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</si>
  <si>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</si>
  <si>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</si>
  <si>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</si>
  <si>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</si>
  <si>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</si>
  <si>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</si>
  <si>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</si>
  <si>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</si>
  <si>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</si>
  <si>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</si>
  <si>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</si>
  <si>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</si>
  <si>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</si>
  <si>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</si>
  <si>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</si>
  <si>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</si>
  <si>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</si>
  <si>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</si>
  <si>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</si>
  <si>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</si>
  <si>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</si>
  <si>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</si>
  <si>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</si>
  <si>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</si>
  <si>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</si>
  <si>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</si>
  <si>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</si>
  <si>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</si>
  <si>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</si>
  <si>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</si>
  <si>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</si>
  <si>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</si>
  <si>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</si>
  <si>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</si>
  <si>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</si>
  <si>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</si>
  <si>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</si>
  <si>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</si>
  <si>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</si>
  <si>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</si>
  <si>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</si>
  <si>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</si>
  <si>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</si>
  <si>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</si>
  <si>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</si>
  <si>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</si>
  <si>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</si>
  <si>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</si>
  <si>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</si>
  <si>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</si>
  <si>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</si>
  <si>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</si>
  <si>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</si>
  <si>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</si>
  <si>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</si>
  <si>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</si>
  <si>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</si>
  <si>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</si>
  <si>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</si>
  <si>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</si>
  <si>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</si>
  <si>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</si>
  <si>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</si>
  <si>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</si>
  <si>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</si>
  <si>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</si>
  <si>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</si>
  <si>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</si>
  <si>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</si>
  <si>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</si>
  <si>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</si>
  <si>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</si>
  <si>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</si>
  <si>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</si>
  <si>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</si>
  <si>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</si>
  <si>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</si>
  <si>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</si>
  <si>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</si>
  <si>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</si>
  <si>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</si>
  <si>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</si>
  <si>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</si>
  <si>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</si>
  <si>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</si>
  <si>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</si>
  <si>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</si>
  <si>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</si>
  <si>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</si>
  <si>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</si>
  <si>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</si>
  <si>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</si>
  <si>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</si>
  <si>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</si>
  <si>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</si>
  <si>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</si>
  <si>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</si>
  <si>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</si>
  <si>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</si>
  <si>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</si>
  <si>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</si>
  <si>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</si>
  <si>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</si>
  <si>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</si>
  <si>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</si>
  <si>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</si>
  <si>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</si>
  <si>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</si>
  <si>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</si>
  <si>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</si>
  <si>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</si>
  <si>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</si>
  <si>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</si>
  <si>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</si>
  <si>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</si>
  <si>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</si>
  <si>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Yoyo</t>
  </si>
  <si>
    <t>YOYO</t>
  </si>
  <si>
    <t>yoyo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</si>
  <si>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</si>
  <si>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</si>
  <si>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</si>
  <si>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</si>
  <si>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</si>
  <si>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</si>
  <si>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</si>
  <si>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</si>
  <si>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</si>
  <si>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</si>
  <si>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Synergie Support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</si>
  <si>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</si>
  <si>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</si>
  <si>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</si>
  <si>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</si>
  <si>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</si>
  <si>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</si>
  <si>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</si>
  <si>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</si>
  <si>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</si>
  <si>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</si>
  <si>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</si>
  <si>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</si>
  <si>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</si>
  <si>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</si>
  <si>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</si>
  <si>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</si>
  <si>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</si>
  <si>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</si>
  <si>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</si>
  <si>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</si>
  <si>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</si>
  <si>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</si>
  <si>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</si>
  <si>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</si>
  <si>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</si>
  <si>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</si>
  <si>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</si>
  <si>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</si>
  <si>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</si>
  <si>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</si>
  <si>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</si>
  <si>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</si>
  <si>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</si>
  <si>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</si>
  <si>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</si>
  <si>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</si>
  <si>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</si>
  <si>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</si>
  <si>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</si>
  <si>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</si>
  <si>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</si>
  <si>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</si>
  <si>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</si>
  <si>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Équipe ennemie</t>
  </si>
  <si>
    <t>Toplaner</t>
  </si>
  <si>
    <t>Jungler</t>
  </si>
  <si>
    <t>Midlaner</t>
  </si>
  <si>
    <t>Support</t>
  </si>
  <si>
    <t>Malza</t>
  </si>
  <si>
    <t>malza</t>
  </si>
  <si>
    <t>nvChampion1</t>
  </si>
  <si>
    <t>nvchampion1</t>
  </si>
  <si>
    <t>nvChampion2</t>
  </si>
  <si>
    <t>nvchampion2</t>
  </si>
  <si>
    <t>nvChampion3</t>
  </si>
  <si>
    <t>nvchampion3</t>
  </si>
  <si>
    <t>nvChampion4</t>
  </si>
  <si>
    <t>nvchampion4</t>
  </si>
  <si>
    <t>nvChampion5</t>
  </si>
  <si>
    <t>nvchampion5</t>
  </si>
  <si>
    <t>nvChampion6</t>
  </si>
  <si>
    <t>nvchampion6</t>
  </si>
  <si>
    <t>nvChampion7</t>
  </si>
  <si>
    <t>nvchampion7</t>
  </si>
  <si>
    <t>nvChampion8</t>
  </si>
  <si>
    <t>nvchampion8</t>
  </si>
  <si>
    <t>nvChampion9</t>
  </si>
  <si>
    <t>nvchampion9</t>
  </si>
  <si>
    <t>nvChampion10</t>
  </si>
  <si>
    <t>nvchampion10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</si>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</sst>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11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2"/>
      <color rgb="FF1C4587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</fills>
  <borders count="4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rgb="FF0000FF"/>
      </right>
      <top/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6" fillId="14" borderId="0" xfId="0" applyFont="1" applyFill="1" applyAlignment="1">
      <alignment horizontal="center"/>
    </xf>
    <xf numFmtId="0" fontId="14" fillId="0" borderId="0" xfId="0" applyFont="1" applyAlignment="1"/>
    <xf numFmtId="0" fontId="17" fillId="0" borderId="0" xfId="0" applyFont="1" applyAlignment="1"/>
    <xf numFmtId="0" fontId="18" fillId="0" borderId="0" xfId="0" applyFont="1"/>
    <xf numFmtId="0" fontId="19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20" fillId="8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1" fillId="5" borderId="6" xfId="0" applyFont="1" applyFill="1" applyBorder="1" applyAlignment="1">
      <alignment horizontal="center" vertical="center" wrapText="1"/>
    </xf>
    <xf numFmtId="0" fontId="19" fillId="0" borderId="0" xfId="0" applyFont="1" applyAlignment="1"/>
    <xf numFmtId="0" fontId="0" fillId="0" borderId="0" xfId="0" applyFont="1" applyAlignment="1"/>
    <xf numFmtId="0" fontId="22" fillId="10" borderId="29" xfId="0" applyFont="1" applyFill="1" applyBorder="1" applyAlignment="1">
      <alignment horizontal="center" vertical="center" wrapText="1"/>
    </xf>
    <xf numFmtId="0" fontId="22" fillId="10" borderId="30" xfId="0" applyFont="1" applyFill="1" applyBorder="1" applyAlignment="1">
      <alignment horizontal="center" vertical="center" wrapText="1"/>
    </xf>
    <xf numFmtId="0" fontId="23" fillId="15" borderId="31" xfId="0" applyFont="1" applyFill="1" applyBorder="1" applyAlignment="1">
      <alignment horizontal="center" vertical="center" wrapText="1"/>
    </xf>
    <xf numFmtId="0" fontId="23" fillId="15" borderId="32" xfId="0" applyFont="1" applyFill="1" applyBorder="1" applyAlignment="1">
      <alignment horizontal="center" vertical="center" wrapText="1"/>
    </xf>
    <xf numFmtId="0" fontId="23" fillId="15" borderId="33" xfId="0" applyFont="1" applyFill="1" applyBorder="1" applyAlignment="1">
      <alignment horizontal="center" vertical="center" wrapText="1"/>
    </xf>
    <xf numFmtId="0" fontId="23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14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3" fillId="16" borderId="35" xfId="0" applyFont="1" applyFill="1" applyBorder="1" applyAlignment="1">
      <alignment horizontal="center" vertical="center"/>
    </xf>
    <xf numFmtId="0" fontId="23" fillId="17" borderId="43" xfId="0" applyFont="1" applyFill="1" applyBorder="1" applyAlignment="1">
      <alignment horizontal="center" vertical="center"/>
    </xf>
    <xf numFmtId="0" fontId="23" fillId="17" borderId="44" xfId="0" applyFont="1" applyFill="1" applyBorder="1" applyAlignment="1">
      <alignment horizontal="center" vertical="center"/>
    </xf>
    <xf numFmtId="0" fontId="23" fillId="17" borderId="45" xfId="0" applyFont="1" applyFill="1" applyBorder="1" applyAlignment="1">
      <alignment horizontal="center" vertical="center"/>
    </xf>
    <xf numFmtId="0" fontId="0" fillId="0" borderId="46" xfId="0" applyFont="1" applyBorder="1" applyAlignment="1"/>
    <xf numFmtId="0" fontId="17" fillId="0" borderId="36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Fill="1" applyBorder="1" applyAlignment="1"/>
    <xf numFmtId="0" fontId="0" fillId="0" borderId="0" xfId="0" applyFont="1" applyAlignment="1"/>
    <xf numFmtId="0" fontId="11" fillId="0" borderId="41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0" fontId="12" fillId="4" borderId="24" xfId="0" applyFont="1" applyFill="1" applyBorder="1" applyAlignment="1">
      <alignment horizontal="center" vertical="center" wrapText="1"/>
    </xf>
    <xf numFmtId="0" fontId="12" fillId="4" borderId="17" xfId="0" applyFont="1" applyFill="1" applyBorder="1" applyAlignment="1">
      <alignment horizontal="center" vertical="center" wrapText="1"/>
    </xf>
    <xf numFmtId="0" fontId="12" fillId="4" borderId="25" xfId="0" applyFont="1" applyFill="1" applyBorder="1" applyAlignment="1">
      <alignment horizontal="center" vertical="center" wrapText="1"/>
    </xf>
    <xf numFmtId="0" fontId="15" fillId="7" borderId="19" xfId="0" applyFont="1" applyFill="1" applyBorder="1" applyAlignment="1">
      <alignment horizontal="center" vertical="center" wrapText="1"/>
    </xf>
    <xf numFmtId="0" fontId="14" fillId="0" borderId="19" xfId="0" applyFont="1" applyBorder="1"/>
    <xf numFmtId="0" fontId="14" fillId="0" borderId="20" xfId="0" applyFont="1" applyBorder="1"/>
    <xf numFmtId="0" fontId="13" fillId="8" borderId="7" xfId="0" applyFont="1" applyFill="1" applyBorder="1" applyAlignment="1">
      <alignment horizontal="center" vertical="center" wrapText="1"/>
    </xf>
    <xf numFmtId="0" fontId="14" fillId="0" borderId="8" xfId="0" applyFont="1" applyBorder="1"/>
    <xf numFmtId="0" fontId="13" fillId="8" borderId="9" xfId="0" applyFont="1" applyFill="1" applyBorder="1" applyAlignment="1">
      <alignment horizontal="center" vertical="center" wrapText="1"/>
    </xf>
    <xf numFmtId="0" fontId="14" fillId="0" borderId="10" xfId="0" applyFont="1" applyBorder="1"/>
    <xf numFmtId="0" fontId="12" fillId="4" borderId="11" xfId="0" applyFont="1" applyFill="1" applyBorder="1" applyAlignment="1">
      <alignment horizontal="center" vertical="center" wrapText="1"/>
    </xf>
    <xf numFmtId="0" fontId="14" fillId="0" borderId="12" xfId="0" applyFont="1" applyBorder="1"/>
    <xf numFmtId="0" fontId="12" fillId="4" borderId="16" xfId="0" applyFont="1" applyFill="1" applyBorder="1" applyAlignment="1">
      <alignment horizontal="center" vertical="center" wrapText="1"/>
    </xf>
    <xf numFmtId="0" fontId="14" fillId="0" borderId="17" xfId="0" applyFont="1" applyBorder="1"/>
    <xf numFmtId="0" fontId="0" fillId="0" borderId="0" xfId="0" applyFont="1" applyAlignment="1"/>
    <xf numFmtId="0" fontId="6" fillId="9" borderId="0" xfId="0" applyFont="1" applyFill="1" applyAlignment="1">
      <alignment horizontal="center" vertical="center"/>
    </xf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15" fillId="7" borderId="18" xfId="0" applyFont="1" applyFill="1" applyBorder="1" applyAlignment="1">
      <alignment horizontal="center" vertical="center" wrapText="1"/>
    </xf>
    <xf numFmtId="0" fontId="15" fillId="7" borderId="13" xfId="0" applyFont="1" applyFill="1" applyBorder="1" applyAlignment="1">
      <alignment horizontal="center" vertical="center" wrapText="1"/>
    </xf>
    <xf numFmtId="0" fontId="14" fillId="0" borderId="14" xfId="0" applyFont="1" applyBorder="1"/>
    <xf numFmtId="0" fontId="14" fillId="0" borderId="15" xfId="0" applyFont="1" applyBorder="1"/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17</xdr:col>
          <xdr:colOff>666750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17</xdr:col>
          <xdr:colOff>619125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Y144"/>
  <sheetViews>
    <sheetView tabSelected="1" workbookViewId="0">
      <selection activeCell="K21" sqref="K21"/>
    </sheetView>
  </sheetViews>
  <sheetFormatPr baseColWidth="10" defaultColWidth="14.42578125" defaultRowHeight="15.75" customHeight="1" x14ac:dyDescent="0.2"/>
  <cols>
    <col min="1" max="19" width="11.7109375" customWidth="1"/>
    <col min="20" max="20" width="20.5703125" customWidth="1"/>
    <col min="21" max="21" width="15.7109375" customWidth="1"/>
  </cols>
  <sheetData>
    <row r="1" spans="1:25" ht="39.950000000000003" customHeight="1" thickTop="1" thickBot="1" x14ac:dyDescent="0.25">
      <c r="A1" s="58" t="s">
        <v>1</v>
      </c>
      <c r="B1" s="59"/>
      <c r="C1" s="59"/>
      <c r="D1" s="60" t="s">
        <v>28</v>
      </c>
      <c r="E1" s="59"/>
      <c r="F1" s="61"/>
      <c r="G1" s="20"/>
      <c r="T1" s="1" t="s">
        <v>3</v>
      </c>
      <c r="U1" s="1" t="s">
        <v>29</v>
      </c>
      <c r="X1" s="2"/>
      <c r="Y1" s="2"/>
    </row>
    <row r="2" spans="1:25" ht="27.95" customHeight="1" thickTop="1" thickBot="1" x14ac:dyDescent="0.3">
      <c r="A2" s="62"/>
      <c r="B2" s="63"/>
      <c r="C2" s="63"/>
      <c r="D2" s="75"/>
      <c r="E2" s="76"/>
      <c r="F2" s="77"/>
      <c r="G2" s="10" t="s">
        <v>153</v>
      </c>
      <c r="J2" s="67" t="s">
        <v>30</v>
      </c>
      <c r="K2" s="66"/>
      <c r="L2" s="66"/>
      <c r="O2" s="8"/>
      <c r="P2" s="8"/>
      <c r="Q2" s="8"/>
      <c r="R2" s="8"/>
      <c r="T2" s="4" t="s">
        <v>55</v>
      </c>
      <c r="U2" s="14">
        <f>Caitlyn!N45+Jinx!N45+'Miss Fortune'!N45+Tristana!N45+Jhin!N45+'Kai''Sa'!N45+Ashe!N45+Draven!N45+Ezreal!N45+'Kog''Maw'!N45+Kalista!N45+Lucian!N45+Sivir!N45+Twitch!N45+Varus!N45+Vayne!M45+Xayah!N45</f>
        <v>0</v>
      </c>
    </row>
    <row r="3" spans="1:25" ht="27.95" customHeight="1" thickTop="1" thickBot="1" x14ac:dyDescent="0.3">
      <c r="A3" s="64"/>
      <c r="B3" s="65"/>
      <c r="C3" s="65"/>
      <c r="D3" s="74"/>
      <c r="E3" s="56"/>
      <c r="F3" s="57"/>
      <c r="G3" s="10" t="s">
        <v>154</v>
      </c>
      <c r="J3" s="66"/>
      <c r="K3" s="66"/>
      <c r="L3" s="66"/>
      <c r="O3" s="8"/>
      <c r="P3" s="8"/>
      <c r="Q3" s="8"/>
      <c r="R3" s="8"/>
      <c r="T3" s="7" t="s">
        <v>144</v>
      </c>
      <c r="U3" s="14">
        <f>Caitlyn!N137+Jinx!N137+'Miss Fortune'!N137+Tristana!N137+Jhin!N137+'Kai''Sa'!N137+Ashe!N137+Draven!N137+Ezreal!N137+'Kog''Maw'!N137+Kalista!N137+Lucian!N137+Sivir!N137+Twitch!N137+Varus!N137+Vayne!M137+Xayah!N137</f>
        <v>0</v>
      </c>
    </row>
    <row r="4" spans="1:25" ht="27.95" customHeight="1" thickTop="1" thickBot="1" x14ac:dyDescent="0.3">
      <c r="A4" s="64"/>
      <c r="B4" s="65"/>
      <c r="C4" s="65"/>
      <c r="D4" s="74"/>
      <c r="E4" s="56"/>
      <c r="F4" s="57"/>
      <c r="G4" s="10" t="s">
        <v>155</v>
      </c>
      <c r="J4" s="68" t="str">
        <f>T2</f>
        <v>Jax</v>
      </c>
      <c r="K4" s="69"/>
      <c r="L4" s="70"/>
      <c r="O4" s="8"/>
      <c r="P4" s="8"/>
      <c r="Q4" s="8"/>
      <c r="R4" s="8"/>
      <c r="T4" s="7" t="s">
        <v>77</v>
      </c>
      <c r="U4" s="14">
        <f>Caitlyn!N67+Jinx!N67+'Miss Fortune'!N67+Tristana!N67+Jhin!N67+'Kai''Sa'!N67+Ashe!N67+Draven!N67+Ezreal!N67+'Kog''Maw'!N67+Kalista!N67+Lucian!N67+Sivir!N67+Twitch!N67+Varus!N67+Vayne!M67+Xayah!N67</f>
        <v>0</v>
      </c>
    </row>
    <row r="5" spans="1:25" ht="27.95" customHeight="1" thickTop="1" thickBot="1" x14ac:dyDescent="0.3">
      <c r="A5" s="66"/>
      <c r="B5" s="66"/>
      <c r="C5" s="66"/>
      <c r="D5" s="74"/>
      <c r="E5" s="56"/>
      <c r="F5" s="57"/>
      <c r="G5" s="10" t="s">
        <v>156</v>
      </c>
      <c r="J5" s="71"/>
      <c r="K5" s="72"/>
      <c r="L5" s="73"/>
      <c r="O5" s="8"/>
      <c r="P5" s="8"/>
      <c r="Q5" s="8"/>
      <c r="R5" s="8"/>
      <c r="T5" s="7" t="s">
        <v>93</v>
      </c>
      <c r="U5" s="14">
        <f>Caitlyn!N84+Jinx!N84+'Miss Fortune'!N84+Tristana!N84+Jhin!N84+'Kai''Sa'!N84+Ashe!N84+Draven!N84+Ezreal!N84+'Kog''Maw'!N84+Kalista!N84+Lucian!N84+Sivir!N84+Twitch!N84+Varus!N84+Vayne!M84+Xayah!N84</f>
        <v>0</v>
      </c>
    </row>
    <row r="6" spans="1:25" ht="27.95" customHeight="1" thickTop="1" thickBot="1" x14ac:dyDescent="0.3">
      <c r="A6" s="52"/>
      <c r="B6" s="53"/>
      <c r="C6" s="54"/>
      <c r="D6" s="55"/>
      <c r="E6" s="56"/>
      <c r="F6" s="57"/>
      <c r="G6" s="10" t="s">
        <v>157</v>
      </c>
      <c r="O6" s="27"/>
      <c r="P6" s="27"/>
      <c r="Q6" s="27"/>
      <c r="T6" s="7" t="s">
        <v>83</v>
      </c>
      <c r="U6" s="14">
        <f>Caitlyn!N73+Jinx!N73+'Miss Fortune'!N73+Tristana!N73+Jhin!N73+'Kai''Sa'!N73+Ashe!N73+Draven!N73+Ezreal!N73+'Kog''Maw'!N73+Kalista!N73+Lucian!N73+Sivir!N73+Twitch!N73+Varus!N73+Vayne!M73+Xayah!N73</f>
        <v>0</v>
      </c>
    </row>
    <row r="7" spans="1:25" ht="27.95" customHeight="1" thickTop="1" thickBot="1" x14ac:dyDescent="0.25">
      <c r="J7" s="40" t="s">
        <v>733</v>
      </c>
      <c r="K7" s="31"/>
      <c r="L7" s="31"/>
      <c r="M7" s="31"/>
      <c r="O7" s="9"/>
      <c r="P7" s="9"/>
      <c r="Q7" s="9"/>
      <c r="R7" s="9"/>
      <c r="T7" s="7" t="s">
        <v>142</v>
      </c>
      <c r="U7" s="14">
        <f>Caitlyn!N135+Jinx!N135+'Miss Fortune'!N135+Tristana!N135+Jhin!N135+'Kai''Sa'!N135+Ashe!N135+Draven!N135+Ezreal!N135+'Kog''Maw'!N135+Kalista!N135+Lucian!N135+Sivir!N135+Twitch!N135+Varus!N135+Vayne!M135+Xayah!N135</f>
        <v>0</v>
      </c>
    </row>
    <row r="8" spans="1:25" ht="27.95" customHeight="1" thickTop="1" thickBot="1" x14ac:dyDescent="0.25">
      <c r="G8" s="51" t="s">
        <v>152</v>
      </c>
      <c r="H8" s="51"/>
      <c r="I8" s="51"/>
      <c r="J8" s="45"/>
      <c r="K8" s="46"/>
      <c r="L8" s="46"/>
      <c r="M8" s="47"/>
      <c r="N8" s="32"/>
      <c r="O8" s="9"/>
      <c r="P8" s="9"/>
      <c r="Q8" s="9"/>
      <c r="R8" s="9"/>
      <c r="T8" s="7" t="s">
        <v>139</v>
      </c>
      <c r="U8" s="14">
        <f>Caitlyn!N132+Jinx!N132+'Miss Fortune'!N132+Tristana!N132+Jhin!N132+'Kai''Sa'!N132+Ashe!N132+Draven!N132+Ezreal!N132+'Kog''Maw'!N132+Kalista!N132+Lucian!N132+Sivir!N132+Twitch!N132+Varus!N132+Vayne!M132+Xayah!N132</f>
        <v>0</v>
      </c>
    </row>
    <row r="9" spans="1:25" ht="27.95" customHeight="1" thickTop="1" thickBot="1" x14ac:dyDescent="0.25">
      <c r="G9" s="51"/>
      <c r="H9" s="51"/>
      <c r="I9" s="51"/>
      <c r="J9" s="48"/>
      <c r="K9" s="49"/>
      <c r="L9" s="49"/>
      <c r="M9" s="50"/>
      <c r="N9" s="32"/>
      <c r="O9" s="9"/>
      <c r="P9" s="9"/>
      <c r="Q9" s="9"/>
      <c r="R9" s="9"/>
      <c r="T9" s="7" t="s">
        <v>24</v>
      </c>
      <c r="U9" s="14">
        <f>Caitlyn!N17+Jinx!N17+'Miss Fortune'!N17+Tristana!N17+Jhin!N17+'Kai''Sa'!N17+Ashe!N17+Draven!N17+Ezreal!N17+'Kog''Maw'!N17+Kalista!N17+Lucian!N17+Sivir!N17+Twitch!N17+Varus!N17+Vayne!M17+Xayah!N17</f>
        <v>0</v>
      </c>
    </row>
    <row r="10" spans="1:25" ht="27.95" customHeight="1" thickTop="1" thickBot="1" x14ac:dyDescent="0.25">
      <c r="L10" s="33"/>
      <c r="O10" s="9"/>
      <c r="P10" s="9"/>
      <c r="Q10" s="9"/>
      <c r="R10" s="9"/>
      <c r="T10" s="18" t="s">
        <v>158</v>
      </c>
      <c r="U10" s="14">
        <f>Caitlyn!N88+Jinx!N88+'Miss Fortune'!N88+Tristana!N88+Jhin!N88+'Kai''Sa'!N88+Ashe!N88+Draven!N88+Ezreal!N88+'Kog''Maw'!N88+Kalista!N88+Lucian!N88+Sivir!N88+Twitch!N88+Varus!N88+Vayne!M88+Xayah!N88</f>
        <v>0</v>
      </c>
    </row>
    <row r="11" spans="1:25" ht="27.95" customHeight="1" thickTop="1" thickBot="1" x14ac:dyDescent="0.25">
      <c r="T11" s="7" t="s">
        <v>59</v>
      </c>
      <c r="U11" s="14">
        <f>Caitlyn!N49+Jinx!N49+'Miss Fortune'!N49+Tristana!N49+Jhin!N49+'Kai''Sa'!N49+Ashe!N49+Draven!N49+Ezreal!N49+'Kog''Maw'!N49+Kalista!N49+Lucian!N49+Sivir!N49+Twitch!N49+Varus!N49+Vayne!M49+Xayah!N49</f>
        <v>0</v>
      </c>
    </row>
    <row r="12" spans="1:25" ht="27.95" customHeight="1" thickTop="1" thickBot="1" x14ac:dyDescent="0.25">
      <c r="A12" s="16" t="s">
        <v>3</v>
      </c>
      <c r="B12" s="21" t="s">
        <v>83</v>
      </c>
      <c r="C12" s="22" t="s">
        <v>58</v>
      </c>
      <c r="D12" s="21" t="s">
        <v>112</v>
      </c>
      <c r="E12" s="21" t="s">
        <v>23</v>
      </c>
      <c r="F12" s="21" t="s">
        <v>124</v>
      </c>
      <c r="G12" s="21" t="s">
        <v>16</v>
      </c>
      <c r="H12" s="21" t="s">
        <v>34</v>
      </c>
      <c r="I12" s="22" t="s">
        <v>38</v>
      </c>
      <c r="J12" s="21" t="s">
        <v>57</v>
      </c>
      <c r="K12" s="21" t="s">
        <v>59</v>
      </c>
      <c r="L12" s="21" t="s">
        <v>60</v>
      </c>
      <c r="M12" s="21" t="s">
        <v>71</v>
      </c>
      <c r="N12" s="21" t="s">
        <v>76</v>
      </c>
      <c r="O12" s="21" t="s">
        <v>128</v>
      </c>
      <c r="P12" s="21" t="s">
        <v>131</v>
      </c>
      <c r="Q12" s="21" t="s">
        <v>132</v>
      </c>
      <c r="R12" s="21" t="s">
        <v>141</v>
      </c>
      <c r="T12" s="7" t="s">
        <v>118</v>
      </c>
      <c r="U12" s="14">
        <f>Caitlyn!N111+Jinx!N111+'Miss Fortune'!N111+Tristana!N111+Jhin!N111+'Kai''Sa'!N111+Ashe!N111+Draven!N111+Ezreal!N111+'Kog''Maw'!N111+Kalista!N111+Lucian!N111+Sivir!N111+Twitch!N111+Varus!N111+Vayne!M111+Xayah!N111</f>
        <v>0</v>
      </c>
    </row>
    <row r="13" spans="1:25" ht="27.95" customHeight="1" thickTop="1" thickBot="1" x14ac:dyDescent="0.25">
      <c r="A13" s="16" t="s">
        <v>652</v>
      </c>
      <c r="B13" s="23">
        <f>'Miss Fortune'!K146</f>
        <v>0</v>
      </c>
      <c r="C13" s="23">
        <f>Jinx!K146</f>
        <v>0</v>
      </c>
      <c r="D13" s="23">
        <f>Sivir!K146</f>
        <v>0</v>
      </c>
      <c r="E13" s="23">
        <f>Caitlyn!K146</f>
        <v>0</v>
      </c>
      <c r="F13" s="23">
        <f>Tristana!K146</f>
        <v>0</v>
      </c>
      <c r="G13" s="23">
        <f>Ashe!K146</f>
        <v>0</v>
      </c>
      <c r="H13" s="23">
        <f>Draven!K146</f>
        <v>0</v>
      </c>
      <c r="I13" s="23">
        <f>Ezreal!K146</f>
        <v>0</v>
      </c>
      <c r="J13" s="23">
        <f>Jhin!K146</f>
        <v>0</v>
      </c>
      <c r="K13" s="23">
        <f>'Kai''Sa'!K146</f>
        <v>0</v>
      </c>
      <c r="L13" s="23">
        <f>Kalista!K146</f>
        <v>0</v>
      </c>
      <c r="M13" s="23">
        <f>'Kog''Maw'!K146</f>
        <v>0</v>
      </c>
      <c r="N13" s="23">
        <f>Lucian!K146</f>
        <v>0</v>
      </c>
      <c r="O13" s="23">
        <f>Twitch!K146</f>
        <v>0</v>
      </c>
      <c r="P13" s="23">
        <f>Varus!K146</f>
        <v>0</v>
      </c>
      <c r="Q13" s="23">
        <f>Vayne!K146</f>
        <v>0</v>
      </c>
      <c r="R13" s="23">
        <f>Xayah!K146</f>
        <v>0</v>
      </c>
      <c r="T13" s="7" t="s">
        <v>14</v>
      </c>
      <c r="U13" s="14">
        <f>Caitlyn!N7+Jinx!N7+'Miss Fortune'!N7+Tristana!N7+Jhin!N7+'Kai''Sa'!N7+Ashe!N7+Draven!N7+Ezreal!N7+'Kog''Maw'!N7+Kalista!N7+Lucian!N7+Sivir!N7+Twitch!N7+Varus!N7+Vayne!M7+Xayah!N7</f>
        <v>0</v>
      </c>
    </row>
    <row r="14" spans="1:25" ht="27.95" customHeight="1" thickTop="1" thickBot="1" x14ac:dyDescent="0.25">
      <c r="A14" s="16" t="s">
        <v>653</v>
      </c>
      <c r="B14" s="25">
        <f>'Miss Fortune'!L146</f>
        <v>0</v>
      </c>
      <c r="C14" s="26">
        <f>Jinx!L146</f>
        <v>0</v>
      </c>
      <c r="D14" s="26">
        <f>Sivir!L146</f>
        <v>0</v>
      </c>
      <c r="E14" s="26">
        <f>Caitlyn!L146</f>
        <v>0</v>
      </c>
      <c r="F14" s="25">
        <f>Tristana!L146</f>
        <v>0</v>
      </c>
      <c r="G14" s="25">
        <f>Ashe!L146</f>
        <v>0</v>
      </c>
      <c r="H14" s="26">
        <f>Draven!L146</f>
        <v>0</v>
      </c>
      <c r="I14" s="25">
        <f>Ezreal!L146</f>
        <v>0</v>
      </c>
      <c r="J14" s="25">
        <f>Jhin!L146</f>
        <v>0</v>
      </c>
      <c r="K14" s="26">
        <f>'Kai''Sa'!L146</f>
        <v>0</v>
      </c>
      <c r="L14" s="25">
        <f>Kalista!L146</f>
        <v>0</v>
      </c>
      <c r="M14" s="26">
        <f>'Kog''Maw'!L146</f>
        <v>0</v>
      </c>
      <c r="N14" s="25">
        <f>Lucian!L146</f>
        <v>0</v>
      </c>
      <c r="O14" s="25">
        <f>Twitch!L146</f>
        <v>0</v>
      </c>
      <c r="P14" s="26">
        <f>Varus!L146</f>
        <v>0</v>
      </c>
      <c r="Q14" s="25">
        <f>Vayne!L146</f>
        <v>0</v>
      </c>
      <c r="R14" s="26">
        <f>Xayah!L146</f>
        <v>0</v>
      </c>
      <c r="T14" s="7" t="s">
        <v>61</v>
      </c>
      <c r="U14" s="14">
        <f>Caitlyn!N51+Jinx!N51+'Miss Fortune'!N51+Tristana!N51+Jhin!N51+'Kai''Sa'!N51+Ashe!N51+Draven!N51+Ezreal!N51+'Kog''Maw'!N51+Kalista!N51+Lucian!N51+Sivir!N51+Twitch!N51+Varus!N51+Vayne!M51+Xayah!N51</f>
        <v>0</v>
      </c>
    </row>
    <row r="15" spans="1:25" ht="27.95" customHeight="1" thickTop="1" thickBot="1" x14ac:dyDescent="0.25">
      <c r="A15" s="16" t="s">
        <v>723</v>
      </c>
      <c r="B15" s="36">
        <f>B13+B14</f>
        <v>0</v>
      </c>
      <c r="C15" s="36">
        <f>C13+C14</f>
        <v>0</v>
      </c>
      <c r="D15" s="36">
        <f>D13+D14</f>
        <v>0</v>
      </c>
      <c r="E15" s="36">
        <f>E13+E14</f>
        <v>0</v>
      </c>
      <c r="F15" s="37">
        <f>F13+F14</f>
        <v>0</v>
      </c>
      <c r="G15" s="36">
        <f>G13+G14</f>
        <v>0</v>
      </c>
      <c r="H15" s="37">
        <f>H13+H14</f>
        <v>0</v>
      </c>
      <c r="I15" s="37">
        <f>I13+I14</f>
        <v>0</v>
      </c>
      <c r="J15" s="36">
        <f>J13+J14</f>
        <v>0</v>
      </c>
      <c r="K15" s="36">
        <f>K13+K14</f>
        <v>0</v>
      </c>
      <c r="L15" s="38">
        <f>L13+L14</f>
        <v>0</v>
      </c>
      <c r="M15" s="37">
        <f>M13+M14</f>
        <v>0</v>
      </c>
      <c r="N15" s="36">
        <f>N13+N14</f>
        <v>0</v>
      </c>
      <c r="O15" s="36">
        <f>O13+O14</f>
        <v>0</v>
      </c>
      <c r="P15" s="36">
        <f>P13+P14</f>
        <v>0</v>
      </c>
      <c r="Q15" s="36">
        <f>Q13+Q14</f>
        <v>0</v>
      </c>
      <c r="R15" s="36">
        <f>R13+R14</f>
        <v>0</v>
      </c>
      <c r="S15" s="39"/>
      <c r="T15" s="7" t="s">
        <v>50</v>
      </c>
      <c r="U15" s="14">
        <f>Caitlyn!N40+Jinx!N40+'Miss Fortune'!N40+Tristana!N40+Jhin!N40+'Kai''Sa'!N40+Ashe!N40+Draven!N40+Ezreal!N40+'Kog''Maw'!N40+Kalista!N40+Lucian!N40+Sivir!N40+Twitch!N40+Varus!N40+Vayne!M40+Xayah!N40</f>
        <v>0</v>
      </c>
    </row>
    <row r="16" spans="1:25" ht="27.95" customHeight="1" thickTop="1" thickBot="1" x14ac:dyDescent="0.25">
      <c r="A16" s="16" t="s">
        <v>654</v>
      </c>
      <c r="B16" s="23">
        <f>'Miss Fortune'!M146</f>
        <v>0</v>
      </c>
      <c r="C16" s="24">
        <f>Jinx!M146</f>
        <v>0</v>
      </c>
      <c r="D16" s="23">
        <f>Sivir!M146</f>
        <v>0</v>
      </c>
      <c r="E16" s="23">
        <f>Caitlyn!M146</f>
        <v>0</v>
      </c>
      <c r="F16" s="23">
        <f>Tristana!M146</f>
        <v>0</v>
      </c>
      <c r="G16" s="23">
        <f>Ashe!M146</f>
        <v>0</v>
      </c>
      <c r="H16" s="23">
        <f>Draven!M146</f>
        <v>0</v>
      </c>
      <c r="I16" s="23">
        <f>Ezreal!M146</f>
        <v>0</v>
      </c>
      <c r="J16" s="23">
        <f>Jhin!M146</f>
        <v>0</v>
      </c>
      <c r="K16" s="23">
        <f>'Kai''Sa'!M146</f>
        <v>0</v>
      </c>
      <c r="L16" s="23">
        <f>Kalista!M146</f>
        <v>0</v>
      </c>
      <c r="M16" s="23">
        <f>'Kog''Maw'!M146</f>
        <v>0</v>
      </c>
      <c r="N16" s="23">
        <f>Lucian!M146</f>
        <v>0</v>
      </c>
      <c r="O16" s="23">
        <f>Twitch!M146</f>
        <v>0</v>
      </c>
      <c r="P16" s="23">
        <f>Varus!M146</f>
        <v>0</v>
      </c>
      <c r="Q16" s="23">
        <f>Vayne!M146</f>
        <v>0</v>
      </c>
      <c r="R16" s="23">
        <f>Xayah!M146</f>
        <v>0</v>
      </c>
      <c r="T16" s="7" t="s">
        <v>66</v>
      </c>
      <c r="U16" s="14">
        <f>Caitlyn!N56+Jinx!N56+'Miss Fortune'!N56+Tristana!N56+Jhin!N56+'Kai''Sa'!N56+Ashe!N56+Draven!N56+Ezreal!N56+'Kog''Maw'!N56+Kalista!N56+Lucian!N56+Sivir!N56+Twitch!N56+Varus!N56+Vayne!M56+Xayah!N56</f>
        <v>0</v>
      </c>
    </row>
    <row r="17" spans="1:21" ht="27.95" customHeight="1" thickTop="1" thickBot="1" x14ac:dyDescent="0.25">
      <c r="A17" s="16" t="s">
        <v>655</v>
      </c>
      <c r="B17" s="25">
        <f>'Miss Fortune'!J146</f>
        <v>0</v>
      </c>
      <c r="C17" s="26">
        <f>Jinx!J146</f>
        <v>0</v>
      </c>
      <c r="D17" s="25">
        <f>Sivir!J146</f>
        <v>0</v>
      </c>
      <c r="E17" s="25">
        <f>Caitlyn!J146</f>
        <v>0</v>
      </c>
      <c r="F17" s="25">
        <f>Tristana!J146</f>
        <v>0</v>
      </c>
      <c r="G17" s="25">
        <f>Ashe!J146</f>
        <v>0</v>
      </c>
      <c r="H17" s="25">
        <f>Draven!J146</f>
        <v>0</v>
      </c>
      <c r="I17" s="25">
        <f>Ezreal!J146</f>
        <v>0</v>
      </c>
      <c r="J17" s="25">
        <f>Jhin!J146</f>
        <v>0</v>
      </c>
      <c r="K17" s="25">
        <f>'Kai''Sa'!J146</f>
        <v>0</v>
      </c>
      <c r="L17" s="25">
        <f>Kalista!J146</f>
        <v>0</v>
      </c>
      <c r="M17" s="25">
        <f>'Kog''Maw'!J146</f>
        <v>0</v>
      </c>
      <c r="N17" s="25">
        <f>Lucian!J146</f>
        <v>0</v>
      </c>
      <c r="O17" s="25">
        <f>Twitch!J146</f>
        <v>0</v>
      </c>
      <c r="P17" s="25">
        <f>Varus!J146</f>
        <v>0</v>
      </c>
      <c r="Q17" s="25">
        <f>Vayne!J146</f>
        <v>0</v>
      </c>
      <c r="R17" s="25">
        <f>Xayah!J146</f>
        <v>0</v>
      </c>
      <c r="T17" s="7" t="s">
        <v>12</v>
      </c>
      <c r="U17" s="14">
        <f>Caitlyn!N5+Jinx!N5+'Miss Fortune'!N5+Tristana!N5+Jhin!N5+'Kai''Sa'!N5+Ashe!N5+Draven!N5+Ezreal!N5+'Kog''Maw'!N5+Kalista!N5+Lucian!N5+Sivir!N5+Twitch!N5+Varus!N5+Vayne!M5+Xayah!N5</f>
        <v>0</v>
      </c>
    </row>
    <row r="18" spans="1:21" ht="27.95" customHeight="1" thickTop="1" thickBot="1" x14ac:dyDescent="0.25">
      <c r="A18" s="16" t="s">
        <v>656</v>
      </c>
      <c r="B18" s="35">
        <f>B16+B17</f>
        <v>0</v>
      </c>
      <c r="C18" s="35">
        <f>C16+C17</f>
        <v>0</v>
      </c>
      <c r="D18" s="35">
        <f>D16+D17</f>
        <v>0</v>
      </c>
      <c r="E18" s="35">
        <f>E16+E17</f>
        <v>0</v>
      </c>
      <c r="F18" s="35">
        <f>F16+F17</f>
        <v>0</v>
      </c>
      <c r="G18" s="35">
        <f>G16+G17</f>
        <v>0</v>
      </c>
      <c r="H18" s="35">
        <f>H16+H17</f>
        <v>0</v>
      </c>
      <c r="I18" s="35">
        <f>I16+I17</f>
        <v>0</v>
      </c>
      <c r="J18" s="35">
        <f>J16+J17</f>
        <v>0</v>
      </c>
      <c r="K18" s="35">
        <f>K16+K17</f>
        <v>0</v>
      </c>
      <c r="L18" s="35">
        <f>L16+L17</f>
        <v>0</v>
      </c>
      <c r="M18" s="35">
        <f>M16+M17</f>
        <v>0</v>
      </c>
      <c r="N18" s="35">
        <f>N16+N17</f>
        <v>0</v>
      </c>
      <c r="O18" s="35">
        <f>O16+O17</f>
        <v>0</v>
      </c>
      <c r="P18" s="35">
        <f>P16+P17</f>
        <v>0</v>
      </c>
      <c r="Q18" s="35">
        <f>Q16+Q17</f>
        <v>0</v>
      </c>
      <c r="R18" s="35">
        <f>R16+R17</f>
        <v>0</v>
      </c>
      <c r="T18" s="7" t="s">
        <v>149</v>
      </c>
      <c r="U18" s="14">
        <f>Caitlyn!N142+Jinx!N142+'Miss Fortune'!N142+Tristana!N142+Jhin!N142+'Kai''Sa'!N142+Ashe!N142+Draven!N142+Ezreal!N142+'Kog''Maw'!N142+Kalista!N142+Lucian!N142+Sivir!N142+Twitch!N142+Varus!N142+Vayne!M142+Xayah!N142</f>
        <v>0</v>
      </c>
    </row>
    <row r="19" spans="1:21" ht="27.95" customHeight="1" thickTop="1" thickBot="1" x14ac:dyDescent="0.25">
      <c r="T19" s="7" t="s">
        <v>122</v>
      </c>
      <c r="U19" s="14">
        <f>Caitlyn!N115+Jinx!N115+'Miss Fortune'!N115+Tristana!N115+Jhin!N115+'Kai''Sa'!N115+Ashe!N115+Draven!N115+Ezreal!N115+'Kog''Maw'!N115+Kalista!N115+Lucian!N115+Sivir!N115+Twitch!N115+Varus!N115+Vayne!M115+Xayah!N115</f>
        <v>0</v>
      </c>
    </row>
    <row r="20" spans="1:21" ht="27.95" customHeight="1" thickTop="1" thickBot="1" x14ac:dyDescent="0.25">
      <c r="T20" s="7" t="s">
        <v>97</v>
      </c>
      <c r="U20" s="14">
        <f>Caitlyn!N89+Jinx!N89+'Miss Fortune'!N89+Tristana!N89+Jhin!N89+'Kai''Sa'!N89+Ashe!N89+Draven!N89+Ezreal!N89+'Kog''Maw'!N89+Kalista!N89+Lucian!N89+Sivir!N89+Twitch!N89+Varus!N89+Vayne!M89+Xayah!N89</f>
        <v>0</v>
      </c>
    </row>
    <row r="21" spans="1:21" ht="27.95" customHeight="1" thickTop="1" thickBot="1" x14ac:dyDescent="0.25">
      <c r="T21" s="7" t="s">
        <v>82</v>
      </c>
      <c r="U21" s="14">
        <f>Caitlyn!N72+Jinx!N72+'Miss Fortune'!N72+Tristana!N72+Jhin!N72+'Kai''Sa'!N72+Ashe!N72+Draven!N72+Ezreal!N72+'Kog''Maw'!N72+Kalista!N72+Lucian!N72+Sivir!N72+Twitch!N72+Varus!N72+Vayne!M72+Xayah!N72</f>
        <v>0</v>
      </c>
    </row>
    <row r="22" spans="1:21" ht="27.95" customHeight="1" thickTop="1" thickBot="1" x14ac:dyDescent="0.25">
      <c r="T22" s="7" t="s">
        <v>56</v>
      </c>
      <c r="U22" s="14">
        <f>Caitlyn!N46+Jinx!N46+'Miss Fortune'!N46+Tristana!N46+Jhin!N46+'Kai''Sa'!N46+Ashe!N46+Draven!N46+Ezreal!N46+'Kog''Maw'!N46+Kalista!N46+Lucian!N46+Sivir!N46+Twitch!N46+Varus!N46+Vayne!M46+Xayah!N46</f>
        <v>0</v>
      </c>
    </row>
    <row r="23" spans="1:21" ht="27.95" customHeight="1" thickTop="1" thickBot="1" x14ac:dyDescent="0.25">
      <c r="T23" s="7" t="s">
        <v>72</v>
      </c>
      <c r="U23" s="14">
        <f>Caitlyn!N62+Jinx!N62+'Miss Fortune'!N62+Tristana!N62+Jhin!N62+'Kai''Sa'!N62+Ashe!N62+Draven!N62+Ezreal!N62+'Kog''Maw'!N62+Kalista!N62+Lucian!N62+Sivir!N62+Twitch!N62+Varus!N62+Vayne!M62+Xayah!N62</f>
        <v>0</v>
      </c>
    </row>
    <row r="24" spans="1:21" ht="27.95" customHeight="1" thickTop="1" thickBot="1" x14ac:dyDescent="0.25">
      <c r="T24" s="7" t="s">
        <v>75</v>
      </c>
      <c r="U24" s="14">
        <f>Caitlyn!N65+Jinx!N65+'Miss Fortune'!N65+Tristana!N65+Jhin!N65+'Kai''Sa'!N65+Ashe!N65+Draven!N65+Ezreal!N65+'Kog''Maw'!N65+Kalista!N65+Lucian!N65+Sivir!N65+Twitch!N65+Varus!N65+Vayne!M65+Xayah!N65</f>
        <v>0</v>
      </c>
    </row>
    <row r="25" spans="1:21" ht="27.95" customHeight="1" thickTop="1" thickBot="1" x14ac:dyDescent="0.25">
      <c r="T25" s="7" t="s">
        <v>11</v>
      </c>
      <c r="U25" s="14">
        <f>Caitlyn!N4+Jinx!N4+'Miss Fortune'!N4+Tristana!N4+Jhin!N4+'Kai''Sa'!N4+Ashe!N4+Draven!N4+Ezreal!N4+'Kog''Maw'!N4+Kalista!N4+Lucian!N4+Sivir!N4+Twitch!N4+Varus!N4+Vayne!M4+Xayah!N4</f>
        <v>0</v>
      </c>
    </row>
    <row r="26" spans="1:21" ht="27.95" customHeight="1" thickTop="1" thickBot="1" x14ac:dyDescent="0.25">
      <c r="T26" s="7" t="s">
        <v>134</v>
      </c>
      <c r="U26" s="14">
        <f>Caitlyn!N127+Jinx!N127+'Miss Fortune'!N127+Tristana!N127+Jhin!N127+'Kai''Sa'!N127+Ashe!N127+Draven!N127+Ezreal!N127+'Kog''Maw'!N127+Kalista!N127+Lucian!N127+Sivir!N127+Twitch!N127+Varus!N127+Vayne!M127+Xayah!N127</f>
        <v>0</v>
      </c>
    </row>
    <row r="27" spans="1:21" ht="27.95" customHeight="1" thickTop="1" thickBot="1" x14ac:dyDescent="0.25">
      <c r="T27" s="7" t="s">
        <v>106</v>
      </c>
      <c r="U27" s="14">
        <f>Caitlyn!N98+Jinx!N98+'Miss Fortune'!N98+Tristana!N98+Jhin!N98+'Kai''Sa'!N98+Ashe!N98+Draven!N98+Ezreal!N98+'Kog''Maw'!N98+Kalista!N98+Lucian!N98+Sivir!N98+Twitch!N98+Varus!N98+Vayne!M98+Xayah!N98</f>
        <v>0</v>
      </c>
    </row>
    <row r="28" spans="1:21" ht="27.95" customHeight="1" thickTop="1" thickBot="1" x14ac:dyDescent="0.25">
      <c r="T28" s="7" t="s">
        <v>15</v>
      </c>
      <c r="U28" s="14">
        <f>Caitlyn!N8+Jinx!N8+'Miss Fortune'!N8+Tristana!N8+Jhin!N8+'Kai''Sa'!N8+Ashe!N8+Draven!N8+Ezreal!N8+'Kog''Maw'!N8+Kalista!N8+Lucian!N8+Sivir!N8+Twitch!N8+Varus!N8+Vayne!M8+Xayah!N8</f>
        <v>0</v>
      </c>
    </row>
    <row r="29" spans="1:21" ht="27.95" customHeight="1" thickTop="1" thickBot="1" x14ac:dyDescent="0.25">
      <c r="T29" s="7" t="s">
        <v>105</v>
      </c>
      <c r="U29" s="14">
        <f>Caitlyn!N97+Jinx!N97+'Miss Fortune'!N97+Tristana!N97+Jhin!N97+'Kai''Sa'!N97+Ashe!N97+Draven!N97+Ezreal!N97+'Kog''Maw'!N97+Kalista!N97+Lucian!N97+Sivir!N97+Twitch!N97+Varus!N97+Vayne!M97+Xayah!N97</f>
        <v>0</v>
      </c>
    </row>
    <row r="30" spans="1:21" ht="27.95" customHeight="1" thickTop="1" thickBot="1" x14ac:dyDescent="0.25">
      <c r="T30" s="7" t="s">
        <v>86</v>
      </c>
      <c r="U30" s="14">
        <f>Caitlyn!N76+Jinx!N76+'Miss Fortune'!N76+Tristana!N76+Jhin!N76+'Kai''Sa'!N76+Ashe!N76+Draven!N76+Ezreal!N76+'Kog''Maw'!N76+Kalista!N76+Lucian!N76+Sivir!N76+Twitch!N76+Varus!N76+Vayne!M76+Xayah!N76</f>
        <v>0</v>
      </c>
    </row>
    <row r="31" spans="1:21" ht="27.95" customHeight="1" thickTop="1" thickBot="1" x14ac:dyDescent="0.25">
      <c r="T31" s="7" t="s">
        <v>101</v>
      </c>
      <c r="U31" s="14">
        <f>Caitlyn!N93+Jinx!N93+'Miss Fortune'!N93+Tristana!N93+Jhin!N93+'Kai''Sa'!N93+Ashe!N93+Draven!N93+Ezreal!N93+'Kog''Maw'!N93+Kalista!N93+Lucian!N93+Sivir!N93+Twitch!N93+Varus!N93+Vayne!M93+Xayah!N93</f>
        <v>0</v>
      </c>
    </row>
    <row r="32" spans="1:21" ht="27.95" customHeight="1" thickTop="1" thickBot="1" x14ac:dyDescent="0.25">
      <c r="T32" s="7" t="s">
        <v>19</v>
      </c>
      <c r="U32" s="14">
        <f>Caitlyn!N12+Jinx!N12+'Miss Fortune'!N12+Tristana!N12+Jhin!N12+'Kai''Sa'!N12+Ashe!N12+Draven!N12+Ezreal!N12+'Kog''Maw'!N12+Kalista!N12+Lucian!N12+Sivir!N12+Twitch!N12+Varus!N12+Vayne!M12+Xayah!N12</f>
        <v>0</v>
      </c>
    </row>
    <row r="33" spans="20:21" ht="27.95" customHeight="1" thickTop="1" thickBot="1" x14ac:dyDescent="0.25">
      <c r="T33" s="7" t="s">
        <v>116</v>
      </c>
      <c r="U33" s="14">
        <f>Caitlyn!N108+Jinx!N108+'Miss Fortune'!N108+Tristana!N108+Jhin!N108+'Kai''Sa'!N108+Ashe!N108+Draven!N108+Ezreal!N108+'Kog''Maw'!N108+Kalista!N108+Lucian!N108+Sivir!N108+Twitch!N108+Varus!N108+Vayne!M108+Xayah!N108</f>
        <v>0</v>
      </c>
    </row>
    <row r="34" spans="20:21" ht="27.95" customHeight="1" thickTop="1" thickBot="1" x14ac:dyDescent="0.25">
      <c r="T34" s="7" t="s">
        <v>95</v>
      </c>
      <c r="U34" s="14">
        <f>Caitlyn!N86+Jinx!N86+'Miss Fortune'!N86+Tristana!N86+Jhin!N86+'Kai''Sa'!N86+Ashe!N86+Draven!N86+Ezreal!N86+'Kog''Maw'!N86+Kalista!N86+Lucian!N86+Sivir!N86+Twitch!N86+Varus!N86+Vayne!M86+Xayah!N86</f>
        <v>0</v>
      </c>
    </row>
    <row r="35" spans="20:21" ht="27.95" customHeight="1" thickTop="1" thickBot="1" x14ac:dyDescent="0.25">
      <c r="T35" s="7" t="s">
        <v>13</v>
      </c>
      <c r="U35" s="14">
        <f>Caitlyn!N6+Jinx!N6+'Miss Fortune'!N6+Tristana!N6+Jhin!N6+'Kai''Sa'!N6+Ashe!N6+Draven!N6+Ezreal!N6+'Kog''Maw'!N6+Kalista!N6+Lucian!N6+Sivir!N6+Twitch!N6+Varus!N6+Vayne!M6+Xayah!N6</f>
        <v>0</v>
      </c>
    </row>
    <row r="36" spans="20:21" ht="27.95" customHeight="1" thickTop="1" thickBot="1" x14ac:dyDescent="0.25">
      <c r="T36" s="7" t="s">
        <v>110</v>
      </c>
      <c r="U36" s="14">
        <f>Caitlyn!N102+Jinx!N102+'Miss Fortune'!N102+Tristana!N102+Jhin!N102+'Kai''Sa'!N102+Ashe!N102+Draven!N102+Ezreal!N102+'Kog''Maw'!N102+Kalista!N102+Lucian!N102+Sivir!N102+Twitch!N102+Varus!N102+Vayne!M102+Xayah!N102</f>
        <v>0</v>
      </c>
    </row>
    <row r="37" spans="20:21" ht="27.95" customHeight="1" thickTop="1" thickBot="1" x14ac:dyDescent="0.25">
      <c r="T37" s="7" t="s">
        <v>40</v>
      </c>
      <c r="U37" s="14">
        <f>Caitlyn!N30+Jinx!N30+'Miss Fortune'!N30+Tristana!N30+Jhin!N30+'Kai''Sa'!N30+Ashe!N30+Draven!N30+Ezreal!N30+'Kog''Maw'!N30+Kalista!N30+Lucian!N30+Sivir!N30+Twitch!N30+Varus!N30+Vayne!M30+Xayah!N30</f>
        <v>0</v>
      </c>
    </row>
    <row r="38" spans="20:21" ht="27.95" customHeight="1" thickTop="1" thickBot="1" x14ac:dyDescent="0.25">
      <c r="T38" s="7" t="s">
        <v>127</v>
      </c>
      <c r="U38" s="14">
        <f>Caitlyn!N120+Jinx!N120+'Miss Fortune'!N120+Tristana!N120+Jhin!N120+'Kai''Sa'!N120+Ashe!N120+Draven!N120+Ezreal!N120+'Kog''Maw'!N120+Kalista!N120+Lucian!N120+Sivir!N120+Twitch!N120+Varus!N120+Vayne!M120+Xayah!N120</f>
        <v>0</v>
      </c>
    </row>
    <row r="39" spans="20:21" ht="27.95" customHeight="1" thickTop="1" thickBot="1" x14ac:dyDescent="0.25">
      <c r="T39" s="7" t="s">
        <v>49</v>
      </c>
      <c r="U39" s="14">
        <f>Caitlyn!N39+Jinx!N39+'Miss Fortune'!N39+Tristana!N39+Jhin!N39+'Kai''Sa'!N39+Ashe!N39+Draven!N39+Ezreal!N39+'Kog''Maw'!N39+Kalista!N39+Lucian!N39+Sivir!N39+Twitch!N39+Varus!N39+Vayne!M39+Xayah!N39</f>
        <v>0</v>
      </c>
    </row>
    <row r="40" spans="20:21" ht="27.95" customHeight="1" thickTop="1" thickBot="1" x14ac:dyDescent="0.25">
      <c r="T40" s="7" t="s">
        <v>46</v>
      </c>
      <c r="U40" s="14">
        <f>Caitlyn!N36+Jinx!N36+'Miss Fortune'!N36+Tristana!N36+Jhin!N36+'Kai''Sa'!N36+Ashe!N36+Draven!N36+Ezreal!N36+'Kog''Maw'!N36+Kalista!N36+Lucian!N36+Sivir!N36+Twitch!N36+Varus!N36+Vayne!M36+Xayah!N36</f>
        <v>0</v>
      </c>
    </row>
    <row r="41" spans="20:21" ht="27.95" customHeight="1" thickTop="1" thickBot="1" x14ac:dyDescent="0.25">
      <c r="T41" s="7" t="s">
        <v>18</v>
      </c>
      <c r="U41" s="14">
        <f>Caitlyn!N11+Jinx!N11+'Miss Fortune'!N11+Tristana!N11+Jhin!N11+'Kai''Sa'!N11+Ashe!N11+Draven!N11+Ezreal!N11+'Kog''Maw'!N11+Kalista!N11+Lucian!N11+Sivir!N11+Twitch!N11+Varus!N11+Vayne!M11+Xayah!N11</f>
        <v>0</v>
      </c>
    </row>
    <row r="42" spans="20:21" ht="27.95" customHeight="1" thickTop="1" thickBot="1" x14ac:dyDescent="0.25">
      <c r="T42" s="7" t="s">
        <v>120</v>
      </c>
      <c r="U42" s="14">
        <f>Caitlyn!N113+Jinx!N113+'Miss Fortune'!N113+Tristana!N113+Jhin!N113+'Kai''Sa'!N113+Ashe!N113+Draven!N113+Ezreal!N113+'Kog''Maw'!N113+Kalista!N113+Lucian!N113+Sivir!N113+Twitch!N113+Varus!N113+Vayne!M113+Xayah!N113</f>
        <v>0</v>
      </c>
    </row>
    <row r="43" spans="20:21" ht="27.95" customHeight="1" thickTop="1" thickBot="1" x14ac:dyDescent="0.25">
      <c r="T43" s="7" t="s">
        <v>60</v>
      </c>
      <c r="U43" s="14">
        <f>Caitlyn!N50+Jinx!N50+'Miss Fortune'!N50+Tristana!N50+Jhin!N50+'Kai''Sa'!N50+Ashe!N50+Draven!N50+Ezreal!N50+'Kog''Maw'!N50+Kalista!N50+Lucian!N50+Sivir!N50+Twitch!N50+Varus!N50+Vayne!M50+Xayah!N50</f>
        <v>0</v>
      </c>
    </row>
    <row r="44" spans="20:21" ht="27.95" customHeight="1" thickTop="1" thickBot="1" x14ac:dyDescent="0.25">
      <c r="T44" s="7" t="s">
        <v>113</v>
      </c>
      <c r="U44" s="14">
        <f>Caitlyn!N105+Jinx!N105+'Miss Fortune'!N105+Tristana!N105+Jhin!N105+'Kai''Sa'!N105+Ashe!N105+Draven!N105+Ezreal!N105+'Kog''Maw'!N105+Kalista!N105+Lucian!N105+Sivir!N105+Twitch!N105+Varus!N105+Vayne!M105+Xayah!N105</f>
        <v>0</v>
      </c>
    </row>
    <row r="45" spans="20:21" ht="27.95" customHeight="1" thickTop="1" thickBot="1" x14ac:dyDescent="0.25">
      <c r="T45" s="7" t="s">
        <v>17</v>
      </c>
      <c r="U45" s="14">
        <f>Caitlyn!N10+Jinx!N10+'Miss Fortune'!N10+Tristana!N10+Jhin!N10+'Kai''Sa'!N10+Ashe!N10+Draven!N10+Ezreal!N10+'Kog''Maw'!N10+Kalista!N10+Lucian!N10+Sivir!N10+Twitch!N10+Varus!N10+Vayne!M10+Xayah!N10</f>
        <v>0</v>
      </c>
    </row>
    <row r="46" spans="20:21" ht="27.95" customHeight="1" thickTop="1" thickBot="1" x14ac:dyDescent="0.25">
      <c r="T46" s="7" t="s">
        <v>41</v>
      </c>
      <c r="U46" s="14">
        <f>Caitlyn!N31+Jinx!N31+'Miss Fortune'!N31+Tristana!N31+Jhin!N31+'Kai''Sa'!N31+Ashe!N31+Draven!N31+Ezreal!N31+'Kog''Maw'!N31+Kalista!N31+Lucian!N31+Sivir!N31+Twitch!N31+Varus!N31+Vayne!M31+Xayah!N31</f>
        <v>0</v>
      </c>
    </row>
    <row r="47" spans="20:21" ht="27.95" customHeight="1" thickTop="1" thickBot="1" x14ac:dyDescent="0.25">
      <c r="T47" s="7" t="s">
        <v>121</v>
      </c>
      <c r="U47" s="14">
        <f>Caitlyn!N114+Jinx!N114+'Miss Fortune'!N114+Tristana!N114+Jhin!N114+'Kai''Sa'!N114+Ashe!N114+Draven!N114+Ezreal!N114+'Kog''Maw'!N114+Kalista!N114+Lucian!N114+Sivir!N114+Twitch!N114+Varus!N114+Vayne!M114+Xayah!N114</f>
        <v>0</v>
      </c>
    </row>
    <row r="48" spans="20:21" ht="27.95" customHeight="1" thickTop="1" thickBot="1" x14ac:dyDescent="0.25">
      <c r="T48" s="7" t="s">
        <v>146</v>
      </c>
      <c r="U48" s="14">
        <f>Caitlyn!N139+Jinx!N139+'Miss Fortune'!N139+Tristana!N139+Jhin!N139+'Kai''Sa'!N139+Ashe!N139+Draven!N139+Ezreal!N139+'Kog''Maw'!N139+Kalista!N139+Lucian!N139+Sivir!N139+Twitch!N139+Varus!N139+Vayne!M139+Xayah!N139</f>
        <v>0</v>
      </c>
    </row>
    <row r="49" spans="20:21" ht="27.95" customHeight="1" thickTop="1" thickBot="1" x14ac:dyDescent="0.25">
      <c r="T49" s="7" t="s">
        <v>107</v>
      </c>
      <c r="U49" s="14">
        <f>Caitlyn!N99+Jinx!N99+'Miss Fortune'!N99+Tristana!N99+Jhin!N99+'Kai''Sa'!N99+Ashe!N99+Draven!N99+Ezreal!N99+'Kog''Maw'!N99+Kalista!N99+Lucian!N99+Sivir!N99+Twitch!N99+Varus!N99+Vayne!M99+Xayah!N99</f>
        <v>0</v>
      </c>
    </row>
    <row r="50" spans="20:21" ht="27.95" customHeight="1" thickTop="1" thickBot="1" x14ac:dyDescent="0.25">
      <c r="T50" s="7" t="s">
        <v>102</v>
      </c>
      <c r="U50" s="14">
        <f>Caitlyn!N94+Jinx!N94+'Miss Fortune'!N94+Tristana!N94+Jhin!N94+'Kai''Sa'!N94+Ashe!N94+Draven!N94+Ezreal!N94+'Kog''Maw'!N94+Kalista!N94+Lucian!N94+Sivir!N94+Twitch!N94+Varus!N94+Vayne!M94+Xayah!N94</f>
        <v>0</v>
      </c>
    </row>
    <row r="51" spans="20:21" ht="27.95" customHeight="1" thickTop="1" thickBot="1" x14ac:dyDescent="0.25">
      <c r="T51" s="7" t="s">
        <v>140</v>
      </c>
      <c r="U51" s="14">
        <f>Caitlyn!N133+Jinx!N133+'Miss Fortune'!N133+Tristana!N133+Jhin!N133+'Kai''Sa'!N133+Ashe!N133+Draven!N133+Ezreal!N133+'Kog''Maw'!N133+Kalista!N133+Lucian!N133+Sivir!N133+Twitch!N133+Varus!N133+Vayne!M133+Xayah!N133</f>
        <v>0</v>
      </c>
    </row>
    <row r="52" spans="20:21" ht="27.95" customHeight="1" thickTop="1" thickBot="1" x14ac:dyDescent="0.25">
      <c r="T52" s="7" t="s">
        <v>65</v>
      </c>
      <c r="U52" s="14">
        <f>Caitlyn!N55+Jinx!N55+'Miss Fortune'!N55+Tristana!N55+Jhin!N55+'Kai''Sa'!N55+Ashe!N55+Draven!N55+Ezreal!N55+'Kog''Maw'!N55+Kalista!N55+Lucian!N55+Sivir!N55+Twitch!N55+Varus!N55+Vayne!M55+Xayah!N55</f>
        <v>0</v>
      </c>
    </row>
    <row r="53" spans="20:21" ht="27.95" customHeight="1" thickTop="1" thickBot="1" x14ac:dyDescent="0.25">
      <c r="T53" s="7" t="s">
        <v>62</v>
      </c>
      <c r="U53" s="14">
        <f>Caitlyn!N52+Jinx!N52+'Miss Fortune'!N52+Tristana!N52+Jhin!N52+'Kai''Sa'!N52+Ashe!N52+Draven!N52+Ezreal!N52+'Kog''Maw'!N52+Kalista!N52+Lucian!N52+Sivir!N52+Twitch!N52+Varus!N52+Vayne!M52+Xayah!N52</f>
        <v>0</v>
      </c>
    </row>
    <row r="54" spans="20:21" ht="27.95" customHeight="1" thickTop="1" thickBot="1" x14ac:dyDescent="0.25">
      <c r="T54" s="7" t="s">
        <v>44</v>
      </c>
      <c r="U54" s="14">
        <f>Caitlyn!N34+Jinx!N34+'Miss Fortune'!N34+Tristana!N34+Jhin!N34+'Kai''Sa'!N34+Ashe!N34+Draven!N34+Ezreal!N34+'Kog''Maw'!N34+Kalista!N34+Lucian!N34+Sivir!N34+Twitch!N34+Varus!N34+Vayne!M34+Xayah!N34</f>
        <v>0</v>
      </c>
    </row>
    <row r="55" spans="20:21" ht="27.95" customHeight="1" thickTop="1" thickBot="1" x14ac:dyDescent="0.25">
      <c r="T55" s="7" t="s">
        <v>150</v>
      </c>
      <c r="U55" s="14">
        <f>Caitlyn!N143+Jinx!N143+'Miss Fortune'!N143+Tristana!N143+Jhin!N143+'Kai''Sa'!N143+Ashe!N143+Draven!N143+Ezreal!N143+'Kog''Maw'!N143+Kalista!N143+Lucian!N143+Sivir!N143+Twitch!N143+Varus!N143+Vayne!M143+Xayah!N143</f>
        <v>0</v>
      </c>
    </row>
    <row r="56" spans="20:21" ht="27.95" customHeight="1" thickTop="1" thickBot="1" x14ac:dyDescent="0.25">
      <c r="T56" s="7" t="s">
        <v>51</v>
      </c>
      <c r="U56" s="14">
        <f>Caitlyn!N41+Jinx!N41+'Miss Fortune'!N41+Tristana!N41+Jhin!N41+'Kai''Sa'!N41+Ashe!N41+Draven!N41+Ezreal!N41+'Kog''Maw'!N41+Kalista!N41+Lucian!N41+Sivir!N41+Twitch!N41+Varus!N41+Vayne!M41+Xayah!N41</f>
        <v>0</v>
      </c>
    </row>
    <row r="57" spans="20:21" ht="27.95" customHeight="1" thickTop="1" thickBot="1" x14ac:dyDescent="0.25">
      <c r="T57" s="7" t="s">
        <v>68</v>
      </c>
      <c r="U57" s="14">
        <f>Caitlyn!N58+Jinx!N58+'Miss Fortune'!N58+Tristana!N58+Jhin!N58+'Kai''Sa'!N58+Ashe!N58+Draven!N58+Ezreal!N58+'Kog''Maw'!N58+Kalista!N58+Lucian!N58+Sivir!N58+Twitch!N58+Varus!N58+Vayne!M58+Xayah!N58</f>
        <v>0</v>
      </c>
    </row>
    <row r="58" spans="20:21" ht="27.95" customHeight="1" thickTop="1" thickBot="1" x14ac:dyDescent="0.25">
      <c r="T58" s="7" t="s">
        <v>745</v>
      </c>
      <c r="U58" s="14">
        <f>Caitlyn!N109+Jinx!N109+'Miss Fortune'!N109+Tristana!N109+Jhin!N109+'Kai''Sa'!N109+Ashe!N109+Draven!N109+Ezreal!N109+'Kog''Maw'!N109+Kalista!N109+Lucian!N109+Sivir!N109+Twitch!N109+Varus!N109+Vayne!M109+Xayah!N109</f>
        <v>0</v>
      </c>
    </row>
    <row r="59" spans="20:21" ht="27.95" customHeight="1" thickTop="1" thickBot="1" x14ac:dyDescent="0.25">
      <c r="T59" s="7" t="s">
        <v>88</v>
      </c>
      <c r="U59" s="14">
        <f>Caitlyn!N78+Jinx!N78+'Miss Fortune'!N78+Tristana!N78+Jhin!N78+'Kai''Sa'!N78+Ashe!N78+Draven!N78+Ezreal!N78+'Kog''Maw'!N78+Kalista!N78+Lucian!N78+Sivir!N78+Twitch!N78+Varus!N78+Vayne!M78+Xayah!N78</f>
        <v>0</v>
      </c>
    </row>
    <row r="60" spans="20:21" ht="27.95" customHeight="1" thickTop="1" thickBot="1" x14ac:dyDescent="0.25">
      <c r="T60" s="7" t="s">
        <v>69</v>
      </c>
      <c r="U60" s="14">
        <f>Caitlyn!N59+Jinx!N59+'Miss Fortune'!N59+Tristana!N59+Jhin!N59+'Kai''Sa'!N59+Ashe!N59+Draven!N59+Ezreal!N59+'Kog''Maw'!N59+Kalista!N59+Lucian!N59+Sivir!N59+Twitch!N59+Varus!N59+Vayne!M59+Xayah!N59</f>
        <v>0</v>
      </c>
    </row>
    <row r="61" spans="20:21" ht="27.95" customHeight="1" thickTop="1" thickBot="1" x14ac:dyDescent="0.25">
      <c r="T61" s="7" t="s">
        <v>119</v>
      </c>
      <c r="U61" s="14">
        <f>Caitlyn!N112+Jinx!N112+'Miss Fortune'!N112+Tristana!N112+Jhin!N112+'Kai''Sa'!N112+Ashe!N112+Draven!N112+Ezreal!N112+'Kog''Maw'!N112+Kalista!N112+Lucian!N112+Sivir!N112+Twitch!N112+Varus!N112+Vayne!M112+Xayah!N112</f>
        <v>0</v>
      </c>
    </row>
    <row r="62" spans="20:21" ht="27.95" customHeight="1" thickTop="1" thickBot="1" x14ac:dyDescent="0.25">
      <c r="T62" s="7" t="s">
        <v>89</v>
      </c>
      <c r="U62" s="14">
        <f>Caitlyn!N80+Jinx!N80+'Miss Fortune'!N80+Tristana!N80+Jhin!N80+'Kai''Sa'!N80+Ashe!N80+Draven!N80+Ezreal!N80+'Kog''Maw'!N80+Kalista!N80+Lucian!N80+Sivir!N80+Twitch!N80+Varus!N80+Vayne!M80+Xayah!N80</f>
        <v>0</v>
      </c>
    </row>
    <row r="63" spans="20:21" ht="27.95" customHeight="1" thickTop="1" thickBot="1" x14ac:dyDescent="0.25">
      <c r="T63" s="7" t="s">
        <v>43</v>
      </c>
      <c r="U63" s="14">
        <f>Caitlyn!N33+Jinx!N33+'Miss Fortune'!N33+Tristana!N33+Jhin!N33+'Kai''Sa'!N33+Ashe!N33+Draven!N33+Ezreal!N33+'Kog''Maw'!N33+Kalista!N33+Lucian!N33+Sivir!N33+Twitch!N33+Varus!N33+Vayne!M33+Xayah!N33</f>
        <v>0</v>
      </c>
    </row>
    <row r="64" spans="20:21" ht="27.95" customHeight="1" thickTop="1" thickBot="1" x14ac:dyDescent="0.25">
      <c r="T64" s="7" t="s">
        <v>71</v>
      </c>
      <c r="U64" s="14">
        <f>Caitlyn!N61+Jinx!N61+'Miss Fortune'!N61+Tristana!N61+Jhin!N61+'Kai''Sa'!N61+Ashe!N61+Draven!N61+Ezreal!N61+'Kog''Maw'!N61+Kalista!N61+Lucian!N61+Sivir!N61+Twitch!N61+Varus!N61+Vayne!M61+Xayah!N61</f>
        <v>0</v>
      </c>
    </row>
    <row r="65" spans="20:21" ht="27.95" customHeight="1" thickTop="1" thickBot="1" x14ac:dyDescent="0.25">
      <c r="T65" s="7" t="s">
        <v>145</v>
      </c>
      <c r="U65" s="14">
        <f>Caitlyn!N138+Jinx!N138+'Miss Fortune'!N138+Tristana!N138+Jhin!N138+'Kai''Sa'!N138+Ashe!N138+Draven!N138+Ezreal!N138+'Kog''Maw'!N138+Kalista!N138+Lucian!N138+Sivir!N138+Twitch!N138+Varus!N138+Vayne!M138+Xayah!N138</f>
        <v>0</v>
      </c>
    </row>
    <row r="66" spans="20:21" ht="27.95" customHeight="1" thickTop="1" thickBot="1" x14ac:dyDescent="0.25">
      <c r="T66" s="7" t="s">
        <v>108</v>
      </c>
      <c r="U66" s="14">
        <f>Caitlyn!N100+Jinx!N100+'Miss Fortune'!N100+Tristana!N100+Jhin!N100+'Kai''Sa'!N100+Ashe!N100+Draven!N100+Ezreal!N100+'Kog''Maw'!N100+Kalista!N100+Lucian!N100+Sivir!N100+Twitch!N100+Varus!N100+Vayne!M100+Xayah!N100</f>
        <v>0</v>
      </c>
    </row>
    <row r="67" spans="20:21" ht="27.95" customHeight="1" thickTop="1" thickBot="1" x14ac:dyDescent="0.25">
      <c r="T67" s="7" t="s">
        <v>23</v>
      </c>
      <c r="U67" s="14">
        <f>Caitlyn!N16+Jinx!N16+'Miss Fortune'!N16+Tristana!N16+Jhin!N16+'Kai''Sa'!N16+Ashe!N16+Draven!N16+Ezreal!N16+'Kog''Maw'!N16+Kalista!N16+Lucian!N16+Sivir!N16+Twitch!N16+Varus!N16+Vayne!M16+Xayah!N16</f>
        <v>0</v>
      </c>
    </row>
    <row r="68" spans="20:21" ht="27.95" customHeight="1" thickTop="1" thickBot="1" x14ac:dyDescent="0.25">
      <c r="T68" s="7" t="s">
        <v>129</v>
      </c>
      <c r="U68" s="14">
        <f>Caitlyn!N122+Jinx!N122+'Miss Fortune'!N122+Tristana!N122+Jhin!N122+'Kai''Sa'!N122+Ashe!N122+Draven!N122+Ezreal!N122+'Kog''Maw'!N122+Kalista!N122+Lucian!N122+Sivir!N122+Twitch!N122+Varus!N122+Vayne!M122+Xayah!N122</f>
        <v>0</v>
      </c>
    </row>
    <row r="69" spans="20:21" ht="27.95" customHeight="1" thickTop="1" thickBot="1" x14ac:dyDescent="0.25">
      <c r="T69" s="7" t="s">
        <v>151</v>
      </c>
      <c r="U69" s="14">
        <f>Caitlyn!N144+Jinx!N144+'Miss Fortune'!N144+Tristana!N144+Jhin!N144+'Kai''Sa'!N144+Ashe!N144+Draven!N144+Ezreal!N144+'Kog''Maw'!N144+Kalista!N144+Lucian!N144+Sivir!N144+Twitch!N144+Varus!N144+Vayne!M144+Xayah!N144</f>
        <v>0</v>
      </c>
    </row>
    <row r="70" spans="20:21" ht="27.95" customHeight="1" thickTop="1" thickBot="1" x14ac:dyDescent="0.25">
      <c r="T70" s="7" t="s">
        <v>9</v>
      </c>
      <c r="U70" s="14">
        <f>Caitlyn!N2+Jinx!N2+'Miss Fortune'!N2+Tristana!N2+Jhin!N2+'Kai''Sa'!N2+Ashe!N2+Draven!N2+Ezreal!N2+'Kog''Maw'!N2+Kalista!N2+Lucian!N2+Sivir!N2+Twitch!N2+Varus!N2+Vayne!M2+Xayah!N2</f>
        <v>0</v>
      </c>
    </row>
    <row r="71" spans="20:21" ht="27.95" customHeight="1" thickTop="1" thickBot="1" x14ac:dyDescent="0.25">
      <c r="T71" s="7" t="s">
        <v>32</v>
      </c>
      <c r="U71" s="14">
        <f>Caitlyn!N22+Jinx!N22+'Miss Fortune'!N22+Tristana!N22+Jhin!N22+'Kai''Sa'!N22+Ashe!N22+Draven!N22+Ezreal!N22+'Kog''Maw'!N22+Kalista!N22+Lucian!N22+Sivir!N22+Twitch!N22+Varus!N22+Vayne!M22+Xayah!N22</f>
        <v>0</v>
      </c>
    </row>
    <row r="72" spans="20:21" ht="27.95" customHeight="1" thickTop="1" thickBot="1" x14ac:dyDescent="0.25">
      <c r="T72" s="7" t="s">
        <v>54</v>
      </c>
      <c r="U72" s="14">
        <f>Caitlyn!N44+Jinx!N44+'Miss Fortune'!N44+Tristana!N44+Jhin!N44+'Kai''Sa'!N44+Ashe!N44+Draven!N44+Ezreal!N44+'Kog''Maw'!N44+Kalista!N44+Lucian!N44+Sivir!N44+Twitch!N44+Varus!N44+Vayne!M44+Xayah!N44</f>
        <v>0</v>
      </c>
    </row>
    <row r="73" spans="20:21" ht="27.95" customHeight="1" thickTop="1" thickBot="1" x14ac:dyDescent="0.25">
      <c r="T73" s="7" t="s">
        <v>135</v>
      </c>
      <c r="U73" s="14">
        <f>Caitlyn!N128+Jinx!N128+'Miss Fortune'!N128+Tristana!N128+Jhin!N128+'Kai''Sa'!N128+Ashe!N128+Draven!N128+Ezreal!N128+'Kog''Maw'!N128+Kalista!N128+Lucian!N128+Sivir!N128+Twitch!N128+Varus!N128+Vayne!M128+Xayah!N128</f>
        <v>0</v>
      </c>
    </row>
    <row r="74" spans="20:21" ht="27.95" customHeight="1" thickTop="1" thickBot="1" x14ac:dyDescent="0.25">
      <c r="T74" s="7" t="s">
        <v>34</v>
      </c>
      <c r="U74" s="14">
        <f>Caitlyn!N24+Jinx!N24+'Miss Fortune'!N24+Tristana!N24+Jhin!N24+'Kai''Sa'!N24+Ashe!N24+Draven!N24+Ezreal!N24+'Kog''Maw'!N24+Kalista!N24+Lucian!N24+Sivir!N24+Twitch!N24+Varus!N24+Vayne!M24+Xayah!N24</f>
        <v>0</v>
      </c>
    </row>
    <row r="75" spans="20:21" ht="27.95" customHeight="1" thickTop="1" thickBot="1" x14ac:dyDescent="0.25">
      <c r="T75" s="7" t="s">
        <v>111</v>
      </c>
      <c r="U75" s="14">
        <f>Caitlyn!N103+Jinx!N103+'Miss Fortune'!N103+Tristana!N103+Jhin!N103+'Kai''Sa'!N103+Ashe!N103+Draven!N103+Ezreal!N103+'Kog''Maw'!N103+Kalista!N103+Lucian!N103+Sivir!N103+Twitch!N103+Varus!N103+Vayne!M103+Xayah!N103</f>
        <v>0</v>
      </c>
    </row>
    <row r="76" spans="20:21" ht="27.95" customHeight="1" thickTop="1" thickBot="1" x14ac:dyDescent="0.25">
      <c r="T76" s="7" t="s">
        <v>138</v>
      </c>
      <c r="U76" s="14">
        <f>Caitlyn!N131+Jinx!N131+'Miss Fortune'!N131+Tristana!N131+Jhin!N131+'Kai''Sa'!N131+Ashe!N131+Draven!N131+Ezreal!N131+'Kog''Maw'!N131+Kalista!N131+Lucian!N131+Sivir!N131+Twitch!N131+Varus!N131+Vayne!M131+Xayah!N131</f>
        <v>0</v>
      </c>
    </row>
    <row r="77" spans="20:21" ht="27.95" customHeight="1" thickTop="1" thickBot="1" x14ac:dyDescent="0.25">
      <c r="T77" s="7" t="s">
        <v>114</v>
      </c>
      <c r="U77" s="14">
        <f>Caitlyn!N106+Jinx!N106+'Miss Fortune'!N106+Tristana!N106+Jhin!N106+'Kai''Sa'!N106+Ashe!N106+Draven!N106+Ezreal!N106+'Kog''Maw'!N106+Kalista!N106+Lucian!N106+Sivir!N106+Twitch!N106+Varus!N106+Vayne!M106+Xayah!N106</f>
        <v>0</v>
      </c>
    </row>
    <row r="78" spans="20:21" ht="27.95" customHeight="1" thickTop="1" thickBot="1" x14ac:dyDescent="0.25">
      <c r="T78" s="7" t="s">
        <v>104</v>
      </c>
      <c r="U78" s="14">
        <f>Caitlyn!N96+Jinx!N96+'Miss Fortune'!N96+Tristana!N96+Jhin!N96+'Kai''Sa'!N96+Ashe!N96+Draven!N96+Ezreal!N96+'Kog''Maw'!N96+Kalista!N96+Lucian!N96+Sivir!N96+Twitch!N96+Varus!N96+Vayne!M96+Xayah!N96</f>
        <v>0</v>
      </c>
    </row>
    <row r="79" spans="20:21" ht="27.95" customHeight="1" thickTop="1" thickBot="1" x14ac:dyDescent="0.25">
      <c r="T79" s="7" t="s">
        <v>100</v>
      </c>
      <c r="U79" s="14">
        <f>Caitlyn!N92+Jinx!N92+'Miss Fortune'!N92+Tristana!N92+Jhin!N92+'Kai''Sa'!N92+Ashe!N92+Draven!N92+Ezreal!N92+'Kog''Maw'!N92+Kalista!N92+Lucian!N92+Sivir!N92+Twitch!N92+Varus!N92+Vayne!M92+Xayah!N92</f>
        <v>0</v>
      </c>
    </row>
    <row r="80" spans="20:21" ht="27.95" customHeight="1" thickTop="1" thickBot="1" x14ac:dyDescent="0.25">
      <c r="T80" s="7" t="s">
        <v>63</v>
      </c>
      <c r="U80" s="14">
        <f>Caitlyn!N53+Jinx!N53+'Miss Fortune'!N53+Tristana!N53+Jhin!N53+'Kai''Sa'!N53+Ashe!N53+Draven!N53+Ezreal!N53+'Kog''Maw'!N53+Kalista!N53+Lucian!N53+Sivir!N53+Twitch!N53+Varus!N53+Vayne!M53+Xayah!N53</f>
        <v>0</v>
      </c>
    </row>
    <row r="81" spans="20:21" ht="27.95" customHeight="1" thickTop="1" thickBot="1" x14ac:dyDescent="0.25">
      <c r="T81" s="7" t="s">
        <v>38</v>
      </c>
      <c r="U81" s="14">
        <f>Caitlyn!N28+Jinx!N28+'Miss Fortune'!N28+Tristana!N28+Jhin!N28+'Kai''Sa'!N28+Ashe!N28+Draven!N28+Ezreal!N28+'Kog''Maw'!N28+Kalista!N28+Lucian!N28+Sivir!N28+Twitch!N28+Varus!N28+Vayne!M28+Xayah!N28</f>
        <v>0</v>
      </c>
    </row>
    <row r="82" spans="20:21" ht="27.95" customHeight="1" thickTop="1" thickBot="1" x14ac:dyDescent="0.25">
      <c r="T82" s="7" t="s">
        <v>76</v>
      </c>
      <c r="U82" s="14">
        <f>Caitlyn!N66+Jinx!N66+'Miss Fortune'!N66+Tristana!N66+Jhin!N66+'Kai''Sa'!N66+Ashe!N66+Draven!N66+Ezreal!N66+'Kog''Maw'!N66+Kalista!N66+Lucian!N66+Sivir!N66+Twitch!N66+Varus!N66+Vayne!M66+Xayah!N66</f>
        <v>0</v>
      </c>
    </row>
    <row r="83" spans="20:21" ht="27.95" customHeight="1" thickTop="1" thickBot="1" x14ac:dyDescent="0.25">
      <c r="T83" s="7" t="s">
        <v>21</v>
      </c>
      <c r="U83" s="14">
        <f>Caitlyn!N14+Jinx!N14+'Miss Fortune'!N14+Tristana!N14+Jhin!N14+'Kai''Sa'!N14+Ashe!N14+Draven!N14+Ezreal!N14+'Kog''Maw'!N14+Kalista!N14+Lucian!N14+Sivir!N14+Twitch!N14+Varus!N14+Vayne!M14+Xayah!N14</f>
        <v>0</v>
      </c>
    </row>
    <row r="84" spans="20:21" ht="27.95" customHeight="1" thickTop="1" thickBot="1" x14ac:dyDescent="0.25">
      <c r="T84" s="7" t="s">
        <v>136</v>
      </c>
      <c r="U84" s="14">
        <f>Caitlyn!N129+Jinx!N129+'Miss Fortune'!N129+Tristana!N129+Jhin!N129+'Kai''Sa'!N129+Ashe!N129+Draven!N129+Ezreal!N129+'Kog''Maw'!N129+Kalista!N129+Lucian!N129+Sivir!N129+Twitch!N129+Varus!N129+Vayne!M129+Xayah!N129</f>
        <v>0</v>
      </c>
    </row>
    <row r="85" spans="20:21" ht="27.95" customHeight="1" thickTop="1" thickBot="1" x14ac:dyDescent="0.25">
      <c r="T85" s="7" t="s">
        <v>79</v>
      </c>
      <c r="U85" s="14">
        <f>Caitlyn!N69+Jinx!N69+'Miss Fortune'!N69+Tristana!N69+Jhin!N69+'Kai''Sa'!N69+Ashe!N69+Draven!N69+Ezreal!N69+'Kog''Maw'!N69+Kalista!N69+Lucian!N69+Sivir!N69+Twitch!N69+Varus!N69+Vayne!M69+Xayah!N69</f>
        <v>0</v>
      </c>
    </row>
    <row r="86" spans="20:21" ht="27.95" customHeight="1" thickTop="1" thickBot="1" x14ac:dyDescent="0.25">
      <c r="T86" s="7" t="s">
        <v>96</v>
      </c>
      <c r="U86" s="14">
        <f>Caitlyn!N87+Jinx!N87+'Miss Fortune'!N87+Tristana!N87+Jhin!N87+'Kai''Sa'!N87+Ashe!N87+Draven!N87+Ezreal!N87+'Kog''Maw'!N87+Kalista!N87+Lucian!N87+Sivir!N87+Twitch!N87+Varus!N87+Vayne!M87+Xayah!N87</f>
        <v>0</v>
      </c>
    </row>
    <row r="87" spans="20:21" ht="27.95" customHeight="1" thickTop="1" thickBot="1" x14ac:dyDescent="0.25">
      <c r="T87" s="7" t="s">
        <v>81</v>
      </c>
      <c r="U87" s="14">
        <f>Caitlyn!N71+Jinx!N71+'Miss Fortune'!N71+Tristana!N71+Jhin!N71+'Kai''Sa'!N71+Ashe!N71+Draven!N71+Ezreal!N71+'Kog''Maw'!N71+Kalista!N71+Lucian!N71+Sivir!N71+Twitch!N71+Varus!N71+Vayne!M71+Xayah!N71</f>
        <v>0</v>
      </c>
    </row>
    <row r="88" spans="20:21" ht="27.95" customHeight="1" thickTop="1" thickBot="1" x14ac:dyDescent="0.25">
      <c r="T88" s="7" t="s">
        <v>143</v>
      </c>
      <c r="U88" s="14">
        <f>Caitlyn!N136+Jinx!N136+'Miss Fortune'!N136+Tristana!N136+Jhin!N136+'Kai''Sa'!N136+Ashe!N136+Draven!N136+Ezreal!N136+'Kog''Maw'!N136+Kalista!N136+Lucian!N136+Sivir!N136+Twitch!N136+Varus!N136+Vayne!M136+Xayah!N136</f>
        <v>0</v>
      </c>
    </row>
    <row r="89" spans="20:21" ht="27.95" customHeight="1" thickTop="1" thickBot="1" x14ac:dyDescent="0.25">
      <c r="T89" s="7" t="s">
        <v>70</v>
      </c>
      <c r="U89" s="14">
        <f>Caitlyn!N60+Jinx!N60+'Miss Fortune'!N60+Tristana!N60+Jhin!N60+'Kai''Sa'!N60+Ashe!N60+Draven!N60+Ezreal!N60+'Kog''Maw'!N60+Kalista!N60+Lucian!N60+Sivir!N60+Twitch!N60+Varus!N60+Vayne!M60+Xayah!N60</f>
        <v>0</v>
      </c>
    </row>
    <row r="90" spans="20:21" ht="27.95" customHeight="1" thickTop="1" thickBot="1" x14ac:dyDescent="0.25">
      <c r="T90" s="7" t="s">
        <v>99</v>
      </c>
      <c r="U90" s="14">
        <f>Caitlyn!N91+Jinx!N91+'Miss Fortune'!N91+Tristana!N91+Jhin!N91+'Kai''Sa'!N91+Ashe!N91+Draven!N91+Ezreal!N91+'Kog''Maw'!N91+Kalista!N91+Lucian!N91+Sivir!N91+Twitch!N91+Varus!N91+Vayne!M91+Xayah!N91</f>
        <v>0</v>
      </c>
    </row>
    <row r="91" spans="20:21" ht="27.95" customHeight="1" thickTop="1" thickBot="1" x14ac:dyDescent="0.25">
      <c r="T91" s="7" t="s">
        <v>141</v>
      </c>
      <c r="U91" s="14">
        <f>Caitlyn!N134+Jinx!N134+'Miss Fortune'!N134+Tristana!N134+Jhin!N134+'Kai''Sa'!N134+Ashe!N134+Draven!N134+Ezreal!N134+'Kog''Maw'!N134+Kalista!N134+Lucian!N134+Sivir!N134+Twitch!N134+Varus!N134+Vayne!M134+Xayah!N134</f>
        <v>0</v>
      </c>
    </row>
    <row r="92" spans="20:21" ht="27.95" customHeight="1" thickTop="1" thickBot="1" x14ac:dyDescent="0.25">
      <c r="T92" s="7" t="s">
        <v>117</v>
      </c>
      <c r="U92" s="14">
        <f>Caitlyn!N110+Jinx!N110+'Miss Fortune'!N110+Tristana!N110+Jhin!N110+'Kai''Sa'!N110+Ashe!N110+Draven!N110+Ezreal!N110+'Kog''Maw'!N110+Kalista!N110+Lucian!N110+Sivir!N110+Twitch!N110+Varus!N110+Vayne!M110+Xayah!N110</f>
        <v>0</v>
      </c>
    </row>
    <row r="93" spans="20:21" ht="27.95" customHeight="1" thickTop="1" thickBot="1" x14ac:dyDescent="0.25">
      <c r="T93" s="7" t="s">
        <v>52</v>
      </c>
      <c r="U93" s="14">
        <f>Caitlyn!N42+Jinx!N42+'Miss Fortune'!N42+Tristana!N42+Jhin!N42+'Kai''Sa'!N42+Ashe!N42+Draven!N42+Ezreal!N42+'Kog''Maw'!N42+Kalista!N42+Lucian!N42+Sivir!N42+Twitch!N42+Varus!N42+Vayne!M42+Xayah!N42</f>
        <v>0</v>
      </c>
    </row>
    <row r="94" spans="20:21" ht="27.95" customHeight="1" thickTop="1" thickBot="1" x14ac:dyDescent="0.25">
      <c r="T94" s="7" t="s">
        <v>27</v>
      </c>
      <c r="U94" s="14">
        <f>Caitlyn!N20+Jinx!N20+'Miss Fortune'!N20+Tristana!N20+Jhin!N20+'Kai''Sa'!N20+Ashe!N20+Draven!N20+Ezreal!N20+'Kog''Maw'!N20+Kalista!N20+Lucian!N20+Sivir!N20+Twitch!N20+Varus!N20+Vayne!M20+Xayah!N20</f>
        <v>0</v>
      </c>
    </row>
    <row r="95" spans="20:21" ht="27.95" customHeight="1" thickTop="1" thickBot="1" x14ac:dyDescent="0.25">
      <c r="T95" s="7" t="s">
        <v>128</v>
      </c>
      <c r="U95" s="14">
        <f>Caitlyn!N121+Jinx!N121+'Miss Fortune'!N121+Tristana!N121+Jhin!N121+'Kai''Sa'!N121+Ashe!N121+Draven!N121+Ezreal!N121+'Kog''Maw'!N121+Kalista!N121+Lucian!N121+Sivir!N121+Twitch!N121+Varus!N121+Vayne!M121+Xayah!N121</f>
        <v>0</v>
      </c>
    </row>
    <row r="96" spans="20:21" ht="27.95" customHeight="1" thickTop="1" thickBot="1" x14ac:dyDescent="0.25">
      <c r="T96" s="7" t="s">
        <v>672</v>
      </c>
      <c r="U96" s="14">
        <f>Caitlyn!N82+Jinx!N82+'Miss Fortune'!N82+Tristana!N82+Jhin!N82+'Kai''Sa'!N82+Ashe!N82+Draven!N82+Ezreal!N82+'Kog''Maw'!N82+Kalista!N82+Lucian!N82+Sivir!N82+Twitch!N82+Varus!N82+Vayne!M82+Xayah!N82</f>
        <v>0</v>
      </c>
    </row>
    <row r="97" spans="20:21" ht="27.95" customHeight="1" thickTop="1" thickBot="1" x14ac:dyDescent="0.25">
      <c r="T97" s="7" t="s">
        <v>148</v>
      </c>
      <c r="U97" s="14">
        <f>Caitlyn!N141+Jinx!N141+'Miss Fortune'!N141+Tristana!N141+Jhin!N141+'Kai''Sa'!N141+Ashe!N141+Draven!N141+Ezreal!N141+'Kog''Maw'!N141+Kalista!N141+Lucian!N141+Sivir!N141+Twitch!N141+Varus!N141+Vayne!M141+Xayah!N141</f>
        <v>0</v>
      </c>
    </row>
    <row r="98" spans="20:21" ht="27.95" customHeight="1" thickTop="1" thickBot="1" x14ac:dyDescent="0.25">
      <c r="T98" s="7" t="s">
        <v>26</v>
      </c>
      <c r="U98" s="14">
        <f>Caitlyn!N19+Jinx!N19+'Miss Fortune'!N19+Tristana!N19+Jhin!N19+'Kai''Sa'!N19+Ashe!N19+Draven!N19+Ezreal!N19+'Kog''Maw'!N19+Kalista!N19+Lucian!N19+Sivir!N19+Twitch!N19+Varus!N19+Vayne!M19+Xayah!N19</f>
        <v>0</v>
      </c>
    </row>
    <row r="99" spans="20:21" ht="27.95" customHeight="1" thickTop="1" thickBot="1" x14ac:dyDescent="0.25">
      <c r="T99" s="7" t="s">
        <v>58</v>
      </c>
      <c r="U99" s="14">
        <f>Caitlyn!N48+Jinx!N48+'Miss Fortune'!N48+Tristana!N48+Jhin!N48+'Kai''Sa'!N48+Ashe!N48+Draven!N48+Ezreal!N48+'Kog''Maw'!N48+Kalista!N48+Lucian!N48+Sivir!N48+Twitch!N48+Varus!N48+Vayne!M48+Xayah!N48</f>
        <v>0</v>
      </c>
    </row>
    <row r="100" spans="20:21" ht="27.95" customHeight="1" thickTop="1" thickBot="1" x14ac:dyDescent="0.25">
      <c r="T100" s="7" t="s">
        <v>64</v>
      </c>
      <c r="U100" s="14">
        <f>Caitlyn!N54+Jinx!N54+'Miss Fortune'!N54+Tristana!N54+Jhin!N54+'Kai''Sa'!N54+Ashe!N54+Draven!N54+Ezreal!N54+'Kog''Maw'!N54+Kalista!N54+Lucian!N54+Sivir!N54+Twitch!N54+Varus!N54+Vayne!M54+Xayah!N54</f>
        <v>0</v>
      </c>
    </row>
    <row r="101" spans="20:21" ht="27.95" customHeight="1" thickTop="1" thickBot="1" x14ac:dyDescent="0.25">
      <c r="T101" s="7" t="s">
        <v>74</v>
      </c>
      <c r="U101" s="14">
        <f>Caitlyn!N64+Jinx!N64+'Miss Fortune'!N64+Tristana!N64+Jhin!N64+'Kai''Sa'!N64+Ashe!N64+Draven!N64+Ezreal!N64+'Kog''Maw'!N64+Kalista!N64+Lucian!N64+Sivir!N64+Twitch!N64+Varus!N64+Vayne!M64+Xayah!N64</f>
        <v>0</v>
      </c>
    </row>
    <row r="102" spans="20:21" ht="27.95" customHeight="1" thickTop="1" thickBot="1" x14ac:dyDescent="0.25">
      <c r="T102" s="7" t="s">
        <v>130</v>
      </c>
      <c r="U102" s="14">
        <f>Caitlyn!N123+Jinx!N123+'Miss Fortune'!N123+Tristana!N123+Jhin!N123+'Kai''Sa'!N123+Ashe!N123+Draven!N123+Ezreal!N123+'Kog''Maw'!N123+Kalista!N123+Lucian!N123+Sivir!N123+Twitch!N123+Varus!N123+Vayne!M123+Xayah!N123</f>
        <v>0</v>
      </c>
    </row>
    <row r="103" spans="20:21" ht="27.95" customHeight="1" thickTop="1" thickBot="1" x14ac:dyDescent="0.25">
      <c r="T103" s="7" t="s">
        <v>126</v>
      </c>
      <c r="U103" s="14">
        <f>Caitlyn!N119+Jinx!N119+'Miss Fortune'!N119+Tristana!N119+Jhin!N119+'Kai''Sa'!N119+Ashe!N119+Draven!N119+Ezreal!N119+'Kog''Maw'!N119+Kalista!N119+Lucian!N119+Sivir!N119+Twitch!N119+Varus!N119+Vayne!M119+Xayah!N119</f>
        <v>0</v>
      </c>
    </row>
    <row r="104" spans="20:21" ht="27.95" customHeight="1" thickTop="1" thickBot="1" x14ac:dyDescent="0.25">
      <c r="T104" s="7" t="s">
        <v>42</v>
      </c>
      <c r="U104" s="14">
        <f>Caitlyn!N32+Jinx!N32+'Miss Fortune'!N32+Tristana!N32+Jhin!N32+'Kai''Sa'!N32+Ashe!N32+Draven!N32+Ezreal!N32+'Kog''Maw'!N32+Kalista!N32+Lucian!N32+Sivir!N32+Twitch!N32+Varus!N32+Vayne!M32+Xayah!N32</f>
        <v>0</v>
      </c>
    </row>
    <row r="105" spans="20:21" ht="27.95" customHeight="1" thickTop="1" thickBot="1" x14ac:dyDescent="0.25">
      <c r="T105" s="7" t="s">
        <v>16</v>
      </c>
      <c r="U105" s="14">
        <f>Caitlyn!N9+Jinx!N9+'Miss Fortune'!N9+Tristana!N9+Jhin!N9+'Kai''Sa'!N9+Ashe!N9+Draven!N9+Ezreal!N9+'Kog''Maw'!N9+Kalista!N9+Lucian!N9+Sivir!N9+Twitch!N9+Varus!N9+Vayne!M9+Xayah!N9</f>
        <v>0</v>
      </c>
    </row>
    <row r="106" spans="20:21" ht="27.95" customHeight="1" thickTop="1" thickBot="1" x14ac:dyDescent="0.25">
      <c r="T106" s="7" t="s">
        <v>131</v>
      </c>
      <c r="U106" s="14">
        <f>Caitlyn!N124+Jinx!N124+'Miss Fortune'!N124+Tristana!N124+Jhin!N124+'Kai''Sa'!N124+Ashe!N124+Draven!N124+Ezreal!N124+'Kog''Maw'!N124+Kalista!N124+Lucian!N124+Sivir!N124+Twitch!N124+Varus!N124+Vayne!M124+Xayah!N124</f>
        <v>0</v>
      </c>
    </row>
    <row r="107" spans="20:21" ht="27.95" customHeight="1" thickTop="1" thickBot="1" x14ac:dyDescent="0.25">
      <c r="T107" s="7" t="s">
        <v>98</v>
      </c>
      <c r="U107" s="14">
        <f>Caitlyn!N90+Jinx!N90+'Miss Fortune'!N90+Tristana!N90+Jhin!N90+'Kai''Sa'!N90+Ashe!N90+Draven!N90+Ezreal!N90+'Kog''Maw'!N90+Kalista!N90+Lucian!N90+Sivir!N90+Twitch!N90+Varus!N90+Vayne!M90+Xayah!N90</f>
        <v>0</v>
      </c>
    </row>
    <row r="108" spans="20:21" ht="27.95" customHeight="1" thickTop="1" thickBot="1" x14ac:dyDescent="0.25">
      <c r="T108" s="7" t="s">
        <v>85</v>
      </c>
      <c r="U108" s="14">
        <f>Caitlyn!N75+Jinx!N75+'Miss Fortune'!N75+Tristana!N75+Jhin!N75+'Kai''Sa'!N75+Ashe!N75+Draven!N75+Ezreal!N75+'Kog''Maw'!N75+Kalista!N75+Lucian!N75+Sivir!N75+Twitch!N75+Varus!N75+Vayne!M75+Xayah!N75</f>
        <v>0</v>
      </c>
    </row>
    <row r="109" spans="20:21" ht="27.95" customHeight="1" thickTop="1" thickBot="1" x14ac:dyDescent="0.25">
      <c r="T109" s="7" t="s">
        <v>90</v>
      </c>
      <c r="U109" s="14">
        <f>Caitlyn!N81+Jinx!N81+'Miss Fortune'!N81+Tristana!N81+Jhin!N81+'Kai''Sa'!N81+Ashe!N81+Draven!N81+Ezreal!N81+'Kog''Maw'!N81+Kalista!N81+Lucian!N81+Sivir!N81+Twitch!N81+Varus!N81+Vayne!M81+Xayah!N81</f>
        <v>0</v>
      </c>
    </row>
    <row r="110" spans="20:21" ht="27.95" customHeight="1" thickTop="1" thickBot="1" x14ac:dyDescent="0.25">
      <c r="T110" s="7" t="s">
        <v>73</v>
      </c>
      <c r="U110" s="14">
        <f>Caitlyn!N63+Jinx!N63+'Miss Fortune'!N63+Tristana!N63+Jhin!N63+'Kai''Sa'!N63+Ashe!N63+Draven!N63+Ezreal!N63+'Kog''Maw'!N63+Kalista!N63+Lucian!N63+Sivir!N63+Twitch!N63+Varus!N63+Vayne!M63+Xayah!N63</f>
        <v>0</v>
      </c>
    </row>
    <row r="111" spans="20:21" ht="27.95" customHeight="1" thickTop="1" thickBot="1" x14ac:dyDescent="0.25">
      <c r="T111" s="7" t="s">
        <v>47</v>
      </c>
      <c r="U111" s="14">
        <f>Caitlyn!N37+Jinx!N37+'Miss Fortune'!N37+Tristana!N37+Jhin!N37+'Kai''Sa'!N37+Ashe!N37+Draven!N37+Ezreal!N37+'Kog''Maw'!N37+Kalista!N37+Lucian!N37+Sivir!N37+Twitch!N37+Varus!N37+Vayne!M37+Xayah!N37</f>
        <v>0</v>
      </c>
    </row>
    <row r="112" spans="20:21" ht="27.95" customHeight="1" thickTop="1" thickBot="1" x14ac:dyDescent="0.25">
      <c r="T112" s="7" t="s">
        <v>84</v>
      </c>
      <c r="U112" s="14">
        <f>Caitlyn!N74+Jinx!N74+'Miss Fortune'!N74+Tristana!N74+Jhin!N74+'Kai''Sa'!N74+Ashe!N74+Draven!N74+Ezreal!N74+'Kog''Maw'!N74+Kalista!N74+Lucian!N74+Sivir!N74+Twitch!N74+Varus!N74+Vayne!M74+Xayah!N74</f>
        <v>0</v>
      </c>
    </row>
    <row r="113" spans="20:21" ht="27.95" customHeight="1" thickTop="1" thickBot="1" x14ac:dyDescent="0.25">
      <c r="T113" s="7" t="s">
        <v>20</v>
      </c>
      <c r="U113" s="14">
        <f>Caitlyn!N13+Jinx!N13+'Miss Fortune'!N13+Tristana!N13+Jhin!N13+'Kai''Sa'!N13+Ashe!N13+Draven!N13+Ezreal!N13+'Kog''Maw'!N13+Kalista!N13+Lucian!N13+Sivir!N13+Twitch!N13+Varus!N13+Vayne!M13+Xayah!N13</f>
        <v>0</v>
      </c>
    </row>
    <row r="114" spans="20:21" ht="27.95" customHeight="1" thickTop="1" thickBot="1" x14ac:dyDescent="0.25">
      <c r="T114" s="7" t="s">
        <v>109</v>
      </c>
      <c r="U114" s="14">
        <f>Caitlyn!N101+Jinx!N101+'Miss Fortune'!N101+Tristana!N101+Jhin!N101+'Kai''Sa'!N101+Ashe!N101+Draven!N101+Ezreal!N101+'Kog''Maw'!N101+Kalista!N101+Lucian!N101+Sivir!N101+Twitch!N101+Varus!N101+Vayne!M101+Xayah!N101</f>
        <v>0</v>
      </c>
    </row>
    <row r="115" spans="20:21" ht="27.95" customHeight="1" thickTop="1" thickBot="1" x14ac:dyDescent="0.25">
      <c r="T115" s="7" t="s">
        <v>36</v>
      </c>
      <c r="U115" s="14">
        <f>Caitlyn!N26+Jinx!N26+'Miss Fortune'!N26+Tristana!N26+Jhin!N26+'Kai''Sa'!N26+Ashe!N26+Draven!N26+Ezreal!N26+'Kog''Maw'!N26+Kalista!N26+Lucian!N26+Sivir!N26+Twitch!N26+Varus!N26+Vayne!M26+Xayah!N26</f>
        <v>0</v>
      </c>
    </row>
    <row r="116" spans="20:21" ht="27.95" customHeight="1" thickTop="1" thickBot="1" x14ac:dyDescent="0.25">
      <c r="T116" s="7" t="s">
        <v>125</v>
      </c>
      <c r="U116" s="14">
        <f>Caitlyn!N118+Jinx!N118+'Miss Fortune'!N118+Tristana!N118+Jhin!N118+'Kai''Sa'!N118+Ashe!N118+Draven!N118+Ezreal!N118+'Kog''Maw'!N118+Kalista!N118+Lucian!N118+Sivir!N118+Twitch!N118+Varus!N118+Vayne!M118+Xayah!N118</f>
        <v>0</v>
      </c>
    </row>
    <row r="117" spans="20:21" ht="27.95" customHeight="1" thickTop="1" thickBot="1" x14ac:dyDescent="0.25">
      <c r="T117" s="7" t="s">
        <v>25</v>
      </c>
      <c r="U117" s="14">
        <f>Caitlyn!N18+Jinx!N18+'Miss Fortune'!N18+Tristana!N18+Jhin!N18+'Kai''Sa'!N18+Ashe!N18+Draven!N18+Ezreal!N18+'Kog''Maw'!N18+Kalista!N18+Lucian!N18+Sivir!N18+Twitch!N18+Varus!N18+Vayne!M18+Xayah!N18</f>
        <v>0</v>
      </c>
    </row>
    <row r="118" spans="20:21" ht="27.95" customHeight="1" thickTop="1" thickBot="1" x14ac:dyDescent="0.25">
      <c r="T118" s="7" t="s">
        <v>45</v>
      </c>
      <c r="U118" s="14">
        <f>Caitlyn!N35+Jinx!N35+'Miss Fortune'!N35+Tristana!N35+Jhin!N35+'Kai''Sa'!N35+Ashe!N35+Draven!N35+Ezreal!N35+'Kog''Maw'!N35+Kalista!N35+Lucian!N35+Sivir!N35+Twitch!N35+Varus!N35+Vayne!M35+Xayah!N35</f>
        <v>0</v>
      </c>
    </row>
    <row r="119" spans="20:21" ht="27.95" customHeight="1" thickTop="1" thickBot="1" x14ac:dyDescent="0.25">
      <c r="T119" s="7" t="s">
        <v>137</v>
      </c>
      <c r="U119" s="14">
        <f>Caitlyn!N130+Jinx!N130+'Miss Fortune'!N130+Tristana!N130+Jhin!N130+'Kai''Sa'!N130+Ashe!N130+Draven!N130+Ezreal!N130+'Kog''Maw'!N130+Kalista!N130+Lucian!N130+Sivir!N130+Twitch!N130+Varus!N130+Vayne!M130+Xayah!N130</f>
        <v>0</v>
      </c>
    </row>
    <row r="120" spans="20:21" ht="27.95" customHeight="1" thickTop="1" thickBot="1" x14ac:dyDescent="0.25">
      <c r="T120" s="7" t="s">
        <v>112</v>
      </c>
      <c r="U120" s="14">
        <f>Caitlyn!N104+Jinx!N104+'Miss Fortune'!N104+Tristana!N104+Jhin!N104+'Kai''Sa'!N104+Ashe!N104+Draven!N104+Ezreal!N104+'Kog''Maw'!N104+Kalista!N104+Lucian!N104+Sivir!N104+Twitch!N104+Varus!N104+Vayne!M104+Xayah!N104</f>
        <v>0</v>
      </c>
    </row>
    <row r="121" spans="20:21" ht="27.95" customHeight="1" thickTop="1" thickBot="1" x14ac:dyDescent="0.25">
      <c r="T121" s="7" t="s">
        <v>123</v>
      </c>
      <c r="U121" s="14">
        <f>Caitlyn!N116+Jinx!N116+'Miss Fortune'!N116+Tristana!N116+Jhin!N116+'Kai''Sa'!N116+Ashe!N116+Draven!N116+Ezreal!N116+'Kog''Maw'!N116+Kalista!N116+Lucian!N116+Sivir!N116+Twitch!N116+Varus!N116+Vayne!M116+Xayah!N116</f>
        <v>0</v>
      </c>
    </row>
    <row r="122" spans="20:21" ht="27.95" customHeight="1" thickTop="1" thickBot="1" x14ac:dyDescent="0.25">
      <c r="T122" s="7" t="s">
        <v>115</v>
      </c>
      <c r="U122" s="14">
        <f>Caitlyn!N107+Jinx!N107+'Miss Fortune'!N107+Tristana!N107+Jhin!N107+'Kai''Sa'!N107+Ashe!N107+Draven!N107+Ezreal!N107+'Kog''Maw'!N107+Kalista!N107+Lucian!N107+Sivir!N107+Twitch!N107+Varus!N107+Vayne!M107+Xayah!N107</f>
        <v>0</v>
      </c>
    </row>
    <row r="123" spans="20:21" ht="27.95" customHeight="1" thickTop="1" thickBot="1" x14ac:dyDescent="0.25">
      <c r="T123" s="7" t="s">
        <v>94</v>
      </c>
      <c r="U123" s="14">
        <f>Caitlyn!N85+Jinx!N85+'Miss Fortune'!N85+Tristana!N85+Jhin!N85+'Kai''Sa'!N85+Ashe!N85+Draven!N85+Ezreal!N85+'Kog''Maw'!N85+Kalista!N85+Lucian!N85+Sivir!N85+Twitch!N85+Varus!N85+Vayne!M85+Xayah!N85</f>
        <v>0</v>
      </c>
    </row>
    <row r="124" spans="20:21" ht="27.95" customHeight="1" thickTop="1" thickBot="1" x14ac:dyDescent="0.25">
      <c r="T124" s="7" t="s">
        <v>67</v>
      </c>
      <c r="U124" s="14">
        <f>Caitlyn!N57+Jinx!N57+'Miss Fortune'!N57+Tristana!N57+Jhin!N57+'Kai''Sa'!N57+Ashe!N57+Draven!N57+Ezreal!N57+'Kog''Maw'!N57+Kalista!N57+Lucian!N57+Sivir!N57+Twitch!N57+Varus!N57+Vayne!M57+Xayah!N57</f>
        <v>0</v>
      </c>
    </row>
    <row r="125" spans="20:21" ht="27.95" customHeight="1" thickTop="1" thickBot="1" x14ac:dyDescent="0.25">
      <c r="T125" s="7" t="s">
        <v>33</v>
      </c>
      <c r="U125" s="14">
        <f>Caitlyn!N23+Jinx!N23+'Miss Fortune'!N23+Tristana!N23+Jhin!N23+'Kai''Sa'!N23+Ashe!N23+Draven!N23+Ezreal!N23+'Kog''Maw'!N23+Kalista!N23+Lucian!N23+Sivir!N23+Twitch!N23+Varus!N23+Vayne!M23+Xayah!N23</f>
        <v>0</v>
      </c>
    </row>
    <row r="126" spans="20:21" ht="27.95" customHeight="1" thickTop="1" thickBot="1" x14ac:dyDescent="0.25">
      <c r="T126" s="7" t="s">
        <v>37</v>
      </c>
      <c r="U126" s="14">
        <f>Caitlyn!N27+Jinx!N27+'Miss Fortune'!N27+Tristana!N27+Jhin!N27+'Kai''Sa'!N27+Ashe!N27+Draven!N27+Ezreal!N27+'Kog''Maw'!N27+Kalista!N27+Lucian!N27+Sivir!N27+Twitch!N27+Varus!N27+Vayne!M27+Xayah!N27</f>
        <v>0</v>
      </c>
    </row>
    <row r="127" spans="20:21" ht="27.95" customHeight="1" thickTop="1" thickBot="1" x14ac:dyDescent="0.25">
      <c r="T127" s="7" t="s">
        <v>124</v>
      </c>
      <c r="U127" s="14">
        <f>Caitlyn!N117+Jinx!N117+'Miss Fortune'!N117+Tristana!N117+Jhin!N117+'Kai''Sa'!N117+Ashe!N117+Draven!N117+Ezreal!N117+'Kog''Maw'!N117+Kalista!N117+Lucian!N117+Sivir!N117+Twitch!N117+Varus!N117+Vayne!M117+Xayah!N117</f>
        <v>0</v>
      </c>
    </row>
    <row r="128" spans="20:21" ht="27.95" customHeight="1" thickTop="1" thickBot="1" x14ac:dyDescent="0.25">
      <c r="T128" s="7" t="s">
        <v>132</v>
      </c>
      <c r="U128" s="14">
        <f>Caitlyn!N125+Jinx!N125+'Miss Fortune'!N125+Tristana!N125+Jhin!N125+'Kai''Sa'!N125+Ashe!N125+Draven!N125+Ezreal!N125+'Kog''Maw'!N125+Kalista!N125+Lucian!N125+Sivir!N125+Twitch!N125+Varus!N125+Vayne!M125+Xayah!N125</f>
        <v>0</v>
      </c>
    </row>
    <row r="129" spans="20:21" ht="27.95" customHeight="1" thickTop="1" thickBot="1" x14ac:dyDescent="0.25">
      <c r="T129" s="7" t="s">
        <v>53</v>
      </c>
      <c r="U129" s="14">
        <f>Caitlyn!N43+Jinx!N43+'Miss Fortune'!N43+Tristana!N43+Jhin!N43+'Kai''Sa'!N43+Ashe!N43+Draven!N43+Ezreal!N43+'Kog''Maw'!N43+Kalista!N43+Lucian!N43+Sivir!N43+Twitch!N43+Varus!N43+Vayne!M43+Xayah!N43</f>
        <v>0</v>
      </c>
    </row>
    <row r="130" spans="20:21" ht="27.95" customHeight="1" thickTop="1" thickBot="1" x14ac:dyDescent="0.25">
      <c r="T130" s="7" t="s">
        <v>78</v>
      </c>
      <c r="U130" s="14">
        <f>Caitlyn!N68+Jinx!N68+'Miss Fortune'!N68+Tristana!N68+Jhin!N68+'Kai''Sa'!N68+Ashe!N68+Draven!N68+Ezreal!N68+'Kog''Maw'!N68+Kalista!N68+Lucian!N68+Sivir!N68+Twitch!N68+Varus!N68+Vayne!M68+Xayah!N68</f>
        <v>0</v>
      </c>
    </row>
    <row r="131" spans="20:21" ht="27.95" customHeight="1" thickTop="1" thickBot="1" x14ac:dyDescent="0.25">
      <c r="T131" s="7" t="s">
        <v>10</v>
      </c>
      <c r="U131" s="14">
        <f>Caitlyn!N3+Jinx!N3+'Miss Fortune'!N3+Tristana!N3+Jhin!N3+'Kai''Sa'!N3+Ashe!N3+Draven!N3+Ezreal!N3+'Kog''Maw'!N3+Kalista!N3+Lucian!N3+Sivir!N3+Twitch!N3+Varus!N3+Vayne!M3+Xayah!N3</f>
        <v>0</v>
      </c>
    </row>
    <row r="132" spans="20:21" ht="27.95" customHeight="1" thickTop="1" thickBot="1" x14ac:dyDescent="0.25">
      <c r="T132" s="7" t="s">
        <v>103</v>
      </c>
      <c r="U132" s="14">
        <f>Caitlyn!N95+Jinx!N95+'Miss Fortune'!N95+Tristana!N95+Jhin!N95+'Kai''Sa'!N95+Ashe!N95+Draven!N95+Ezreal!N95+'Kog''Maw'!N95+Kalista!N95+Lucian!N95+Sivir!N95+Twitch!N95+Varus!N95+Vayne!M95+Xayah!N95</f>
        <v>0</v>
      </c>
    </row>
    <row r="133" spans="20:21" ht="27.95" customHeight="1" thickTop="1" thickBot="1" x14ac:dyDescent="0.25">
      <c r="T133" s="7" t="s">
        <v>35</v>
      </c>
      <c r="U133" s="14">
        <f>Caitlyn!N25+Jinx!N25+'Miss Fortune'!N25+Tristana!N25+Jhin!N25+'Kai''Sa'!N25+Ashe!N25+Draven!N25+Ezreal!N25+'Kog''Maw'!N25+Kalista!N25+Lucian!N25+Sivir!N25+Twitch!N25+Varus!N25+Vayne!M25+Xayah!N25</f>
        <v>0</v>
      </c>
    </row>
    <row r="134" spans="20:21" ht="27.95" customHeight="1" thickTop="1" thickBot="1" x14ac:dyDescent="0.25">
      <c r="T134" s="7" t="s">
        <v>57</v>
      </c>
      <c r="U134" s="14">
        <f>Caitlyn!N47+Jinx!N47+'Miss Fortune'!N47+Tristana!N47+Jhin!N47+'Kai''Sa'!N47+Ashe!N47+Draven!N47+Ezreal!N47+'Kog''Maw'!N47+Kalista!N47+Lucian!N47+Sivir!N47+Twitch!N47+Varus!N47+Vayne!M47+Xayah!N47</f>
        <v>0</v>
      </c>
    </row>
    <row r="135" spans="20:21" ht="27.95" customHeight="1" thickTop="1" thickBot="1" x14ac:dyDescent="0.25">
      <c r="T135" s="7" t="s">
        <v>92</v>
      </c>
      <c r="U135" s="14">
        <f>Caitlyn!N83+Jinx!N83+'Miss Fortune'!N83+Tristana!N83+Jhin!N83+'Kai''Sa'!N83+Ashe!N83+Draven!N83+Ezreal!N83+'Kog''Maw'!N83+Kalista!N83+Lucian!N83+Sivir!N83+Twitch!N83+Varus!N83+Vayne!M83+Xayah!N83</f>
        <v>0</v>
      </c>
    </row>
    <row r="136" spans="20:21" ht="27.95" customHeight="1" thickTop="1" thickBot="1" x14ac:dyDescent="0.25">
      <c r="T136" s="7" t="s">
        <v>39</v>
      </c>
      <c r="U136" s="14">
        <f>Caitlyn!N29+Jinx!N29+'Miss Fortune'!N29+Tristana!N29+Jhin!N29+'Kai''Sa'!N29+Ashe!N29+Draven!N29+Ezreal!N29+'Kog''Maw'!N29+Kalista!N29+Lucian!N29+Sivir!N29+Twitch!N29+Varus!N29+Vayne!M29+Xayah!N29</f>
        <v>0</v>
      </c>
    </row>
    <row r="137" spans="20:21" ht="27.95" customHeight="1" thickTop="1" thickBot="1" x14ac:dyDescent="0.25">
      <c r="T137" s="7" t="s">
        <v>48</v>
      </c>
      <c r="U137" s="14">
        <f>Caitlyn!N38+Jinx!N38+'Miss Fortune'!N38+Tristana!N38+Jhin!N38+'Kai''Sa'!N38+Ashe!N38+Draven!N38+Ezreal!N38+'Kog''Maw'!N38+Kalista!N38+Lucian!N38+Sivir!N38+Twitch!N38+Varus!N38+Vayne!M38+Xayah!N38</f>
        <v>0</v>
      </c>
    </row>
    <row r="138" spans="20:21" ht="27.95" customHeight="1" thickTop="1" thickBot="1" x14ac:dyDescent="0.25">
      <c r="T138" s="7" t="s">
        <v>133</v>
      </c>
      <c r="U138" s="14">
        <f>Caitlyn!N126+Jinx!N126+'Miss Fortune'!N126+Tristana!N126+Jhin!N126+'Kai''Sa'!N126+Ashe!N126+Draven!N126+Ezreal!N126+'Kog''Maw'!N126+Kalista!N126+Lucian!N126+Sivir!N126+Twitch!N126+Varus!N126+Vayne!M126+Xayah!N126</f>
        <v>0</v>
      </c>
    </row>
    <row r="139" spans="20:21" ht="27.95" customHeight="1" thickTop="1" thickBot="1" x14ac:dyDescent="0.25">
      <c r="T139" s="7" t="s">
        <v>31</v>
      </c>
      <c r="U139" s="14">
        <f>Caitlyn!N21+Jinx!N21+'Miss Fortune'!N21+Tristana!N21+Jhin!N21+'Kai''Sa'!N21+Ashe!N21+Draven!N21+Ezreal!N21+'Kog''Maw'!N21+Kalista!N21+Lucian!N21+Sivir!N21+Twitch!N21+Varus!N21+Vayne!M21+Xayah!N21</f>
        <v>0</v>
      </c>
    </row>
    <row r="140" spans="20:21" ht="27.95" customHeight="1" thickTop="1" thickBot="1" x14ac:dyDescent="0.25">
      <c r="T140" s="7" t="s">
        <v>80</v>
      </c>
      <c r="U140" s="14">
        <f>Caitlyn!N70+Jinx!N70+'Miss Fortune'!N70+Tristana!N70+Jhin!N70+'Kai''Sa'!N70+Ashe!N70+Draven!N70+Ezreal!N70+'Kog''Maw'!N70+Kalista!N70+Lucian!N70+Sivir!N70+Twitch!N70+Varus!N70+Vayne!M70+Xayah!N70</f>
        <v>0</v>
      </c>
    </row>
    <row r="141" spans="20:21" ht="27.95" customHeight="1" thickTop="1" thickBot="1" x14ac:dyDescent="0.25">
      <c r="T141" s="7" t="s">
        <v>147</v>
      </c>
      <c r="U141" s="14">
        <f>Caitlyn!N140+Jinx!N140+'Miss Fortune'!N140+Tristana!N140+Jhin!N140+'Kai''Sa'!N140+Ashe!N140+Draven!N140+Ezreal!N140+'Kog''Maw'!N140+Kalista!N140+Lucian!N140+Sivir!N140+Twitch!N140+Varus!N140+Vayne!M140+Xayah!N140</f>
        <v>0</v>
      </c>
    </row>
    <row r="142" spans="20:21" ht="27.95" customHeight="1" thickTop="1" thickBot="1" x14ac:dyDescent="0.25">
      <c r="T142" s="7" t="s">
        <v>87</v>
      </c>
      <c r="U142" s="14">
        <f>Caitlyn!N77+Jinx!N77+'Miss Fortune'!N77+Tristana!N77+Jhin!N77+'Kai''Sa'!N77+Ashe!N77+Draven!N77+Ezreal!N77+'Kog''Maw'!N77+Kalista!N77+Lucian!N77+Sivir!N77+Twitch!N77+Varus!N77+Vayne!M77+Xayah!N77</f>
        <v>0</v>
      </c>
    </row>
    <row r="143" spans="20:21" ht="27.95" customHeight="1" thickTop="1" thickBot="1" x14ac:dyDescent="0.25">
      <c r="T143" s="7" t="s">
        <v>22</v>
      </c>
      <c r="U143" s="14">
        <f>Caitlyn!N15+Jinx!N15+'Miss Fortune'!N15+Tristana!N15+Jhin!N15+'Kai''Sa'!N15+Ashe!N15+Draven!N15+Ezreal!N15+'Kog''Maw'!N15+Kalista!N15+Lucian!N15+Sivir!N15+Twitch!N15+Varus!N15+Vayne!M15+Xayah!N15</f>
        <v>0</v>
      </c>
    </row>
    <row r="144" spans="20:21" ht="15.75" customHeight="1" thickTop="1" x14ac:dyDescent="0.2"/>
  </sheetData>
  <sortState ref="T2:U143">
    <sortCondition descending="1" ref="U2:U143"/>
  </sortState>
  <mergeCells count="16">
    <mergeCell ref="J8:M9"/>
    <mergeCell ref="G8:I9"/>
    <mergeCell ref="A6:C6"/>
    <mergeCell ref="D6:F6"/>
    <mergeCell ref="A1:C1"/>
    <mergeCell ref="D1:F1"/>
    <mergeCell ref="A2:C2"/>
    <mergeCell ref="A3:C3"/>
    <mergeCell ref="A5:C5"/>
    <mergeCell ref="A4:C4"/>
    <mergeCell ref="J2:L3"/>
    <mergeCell ref="J4:L5"/>
    <mergeCell ref="D5:F5"/>
    <mergeCell ref="D2:F2"/>
    <mergeCell ref="D3:F3"/>
    <mergeCell ref="D4:F4"/>
  </mergeCells>
  <conditionalFormatting sqref="B13:R14 B16:R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B13:R14 B16:R17">
    <cfRule type="cellIs" dxfId="19" priority="8" operator="between">
      <formula>-9</formula>
      <formula>-6</formula>
    </cfRule>
  </conditionalFormatting>
  <conditionalFormatting sqref="B16:R17 B13:R14">
    <cfRule type="cellIs" dxfId="18" priority="9" operator="lessThan">
      <formula>-9</formula>
    </cfRule>
  </conditionalFormatting>
  <conditionalFormatting sqref="B15:R15">
    <cfRule type="cellIs" dxfId="17" priority="17" operator="between">
      <formula>0.1</formula>
      <formula>4</formula>
    </cfRule>
  </conditionalFormatting>
  <conditionalFormatting sqref="B15:R15">
    <cfRule type="cellIs" dxfId="16" priority="18" operator="between">
      <formula>4</formula>
      <formula>8</formula>
    </cfRule>
  </conditionalFormatting>
  <conditionalFormatting sqref="B15:R15">
    <cfRule type="cellIs" dxfId="15" priority="19" operator="between">
      <formula>8</formula>
      <formula>12</formula>
    </cfRule>
  </conditionalFormatting>
  <conditionalFormatting sqref="B15:R15">
    <cfRule type="cellIs" dxfId="14" priority="20" operator="between">
      <formula>12</formula>
      <formula>16</formula>
    </cfRule>
  </conditionalFormatting>
  <conditionalFormatting sqref="B15:R15">
    <cfRule type="cellIs" dxfId="13" priority="21" operator="greaterThan">
      <formula>16</formula>
    </cfRule>
  </conditionalFormatting>
  <conditionalFormatting sqref="B15:R15">
    <cfRule type="cellIs" dxfId="12" priority="22" operator="between">
      <formula>-0.1</formula>
      <formula>-4</formula>
    </cfRule>
  </conditionalFormatting>
  <conditionalFormatting sqref="B15:R15">
    <cfRule type="cellIs" dxfId="11" priority="23" operator="between">
      <formula>-4</formula>
      <formula>-8</formula>
    </cfRule>
  </conditionalFormatting>
  <conditionalFormatting sqref="B15:R15">
    <cfRule type="cellIs" dxfId="10" priority="24" operator="between">
      <formula>-8</formula>
      <formula>-12</formula>
    </cfRule>
  </conditionalFormatting>
  <conditionalFormatting sqref="B15:R15">
    <cfRule type="cellIs" dxfId="9" priority="25" operator="lessThan">
      <formula>-12</formula>
    </cfRule>
  </conditionalFormatting>
  <conditionalFormatting sqref="B18:R18">
    <cfRule type="cellIs" dxfId="8" priority="26" operator="between">
      <formula>0.1</formula>
      <formula>5</formula>
    </cfRule>
  </conditionalFormatting>
  <conditionalFormatting sqref="B18:R18">
    <cfRule type="cellIs" dxfId="7" priority="27" operator="between">
      <formula>5</formula>
      <formula>10</formula>
    </cfRule>
  </conditionalFormatting>
  <conditionalFormatting sqref="B18:R18">
    <cfRule type="cellIs" dxfId="6" priority="28" operator="between">
      <formula>10</formula>
      <formula>15</formula>
    </cfRule>
  </conditionalFormatting>
  <conditionalFormatting sqref="B18:R18">
    <cfRule type="cellIs" dxfId="5" priority="29" operator="between">
      <formula>15</formula>
      <formula>20</formula>
    </cfRule>
  </conditionalFormatting>
  <conditionalFormatting sqref="B18:R18">
    <cfRule type="cellIs" dxfId="4" priority="30" operator="greaterThan">
      <formula>20</formula>
    </cfRule>
  </conditionalFormatting>
  <conditionalFormatting sqref="B18:R18">
    <cfRule type="cellIs" dxfId="3" priority="31" operator="between">
      <formula>-0.1</formula>
      <formula>-5</formula>
    </cfRule>
  </conditionalFormatting>
  <conditionalFormatting sqref="B18:R18">
    <cfRule type="cellIs" dxfId="2" priority="32" operator="between">
      <formula>-5</formula>
      <formula>-10</formula>
    </cfRule>
  </conditionalFormatting>
  <conditionalFormatting sqref="B18:R18">
    <cfRule type="cellIs" dxfId="1" priority="33" operator="between">
      <formula>-10</formula>
      <formula>-15</formula>
    </cfRule>
  </conditionalFormatting>
  <conditionalFormatting sqref="B18:R18">
    <cfRule type="cellIs" dxfId="0" priority="34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17</xdr:col>
                    <xdr:colOff>666750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17</xdr:col>
                    <xdr:colOff>619125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5"/>
  <sheetViews>
    <sheetView topLeftCell="A94" workbookViewId="0">
      <selection activeCell="B109" sqref="B109"/>
    </sheetView>
  </sheetViews>
  <sheetFormatPr baseColWidth="10" defaultRowHeight="12.75" x14ac:dyDescent="0.2"/>
  <sheetData>
    <row r="1" spans="1:27" x14ac:dyDescent="0.2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ht="16.5" thickBot="1" x14ac:dyDescent="0.25">
      <c r="A2" s="4" t="s">
        <v>9</v>
      </c>
      <c r="B2" s="12" t="s">
        <v>9</v>
      </c>
      <c r="C2" s="12" t="s">
        <v>159</v>
      </c>
      <c r="D2" s="12" t="s">
        <v>160</v>
      </c>
      <c r="E2" s="12" t="s">
        <v>160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7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7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7" ht="17.25" thickTop="1" thickBot="1" x14ac:dyDescent="0.25">
      <c r="A5" s="7" t="s">
        <v>12</v>
      </c>
      <c r="B5" s="12" t="s">
        <v>12</v>
      </c>
      <c r="C5" s="12" t="s">
        <v>163</v>
      </c>
      <c r="D5" s="12" t="s">
        <v>164</v>
      </c>
      <c r="E5" s="12" t="s">
        <v>165</v>
      </c>
      <c r="F5" s="12" t="s">
        <v>160</v>
      </c>
      <c r="G5" s="12" t="s">
        <v>160</v>
      </c>
      <c r="H5" s="12" t="s">
        <v>160</v>
      </c>
      <c r="I5" s="12" t="s">
        <v>160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</row>
    <row r="6" spans="1:27" ht="17.25" thickTop="1" thickBot="1" x14ac:dyDescent="0.25">
      <c r="A6" s="7" t="s">
        <v>13</v>
      </c>
      <c r="B6" s="12" t="s">
        <v>13</v>
      </c>
      <c r="C6" s="12" t="s">
        <v>166</v>
      </c>
      <c r="D6" s="12" t="s">
        <v>167</v>
      </c>
      <c r="E6" s="12" t="s">
        <v>168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7" ht="17.25" thickTop="1" thickBot="1" x14ac:dyDescent="0.25">
      <c r="A7" s="7" t="s">
        <v>14</v>
      </c>
      <c r="B7" s="12" t="s">
        <v>14</v>
      </c>
      <c r="C7" s="12" t="s">
        <v>169</v>
      </c>
      <c r="D7" s="12" t="s">
        <v>160</v>
      </c>
      <c r="E7" s="12" t="s">
        <v>160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7" ht="17.25" thickTop="1" thickBot="1" x14ac:dyDescent="0.25">
      <c r="A8" s="7" t="s">
        <v>15</v>
      </c>
      <c r="B8" s="12" t="s">
        <v>15</v>
      </c>
      <c r="C8" s="12" t="s">
        <v>170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7" ht="17.25" thickTop="1" thickBot="1" x14ac:dyDescent="0.25">
      <c r="A9" s="7" t="s">
        <v>16</v>
      </c>
      <c r="B9" s="12" t="s">
        <v>16</v>
      </c>
      <c r="C9" s="12" t="s">
        <v>171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7" ht="33" thickTop="1" thickBot="1" x14ac:dyDescent="0.25">
      <c r="A10" s="7" t="s">
        <v>17</v>
      </c>
      <c r="B10" s="12" t="s">
        <v>17</v>
      </c>
      <c r="C10" s="12" t="s">
        <v>172</v>
      </c>
      <c r="D10" s="12" t="s">
        <v>173</v>
      </c>
      <c r="E10" s="12" t="s">
        <v>174</v>
      </c>
      <c r="F10" s="12" t="s">
        <v>175</v>
      </c>
      <c r="G10" s="12" t="s">
        <v>178</v>
      </c>
      <c r="H10" s="12" t="s">
        <v>176</v>
      </c>
      <c r="I10" s="12" t="s">
        <v>177</v>
      </c>
      <c r="J10" s="12" t="s">
        <v>179</v>
      </c>
      <c r="K10" s="12" t="s">
        <v>180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7" ht="17.25" thickTop="1" thickBot="1" x14ac:dyDescent="0.25">
      <c r="A11" s="7" t="s">
        <v>18</v>
      </c>
      <c r="B11" s="12" t="s">
        <v>18</v>
      </c>
      <c r="C11" s="12" t="s">
        <v>181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7" ht="17.25" thickTop="1" thickBot="1" x14ac:dyDescent="0.25">
      <c r="A12" s="7" t="s">
        <v>19</v>
      </c>
      <c r="B12" s="12" t="s">
        <v>19</v>
      </c>
      <c r="C12" s="12" t="s">
        <v>182</v>
      </c>
      <c r="D12" s="12" t="s">
        <v>160</v>
      </c>
      <c r="E12" s="12" t="s">
        <v>160</v>
      </c>
      <c r="F12" s="12" t="s">
        <v>160</v>
      </c>
      <c r="G12" s="12" t="s">
        <v>160</v>
      </c>
      <c r="H12" s="12" t="s">
        <v>160</v>
      </c>
      <c r="I12" s="12" t="s">
        <v>160</v>
      </c>
      <c r="J12" s="12" t="s">
        <v>160</v>
      </c>
      <c r="K12" s="12" t="s">
        <v>160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7" ht="33" thickTop="1" thickBot="1" x14ac:dyDescent="0.25">
      <c r="A13" s="7" t="s">
        <v>20</v>
      </c>
      <c r="B13" s="12" t="s">
        <v>20</v>
      </c>
      <c r="C13" s="12" t="s">
        <v>183</v>
      </c>
      <c r="D13" s="12" t="s">
        <v>184</v>
      </c>
      <c r="E13" s="12" t="s">
        <v>185</v>
      </c>
      <c r="F13" s="12" t="s">
        <v>186</v>
      </c>
      <c r="G13" s="12" t="s">
        <v>187</v>
      </c>
      <c r="H13" s="12" t="s">
        <v>188</v>
      </c>
      <c r="I13" s="12" t="s">
        <v>189</v>
      </c>
      <c r="J13" s="12" t="s">
        <v>190</v>
      </c>
      <c r="K13" s="12" t="s">
        <v>191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7" ht="17.25" thickTop="1" thickBot="1" x14ac:dyDescent="0.25">
      <c r="A14" s="7" t="s">
        <v>21</v>
      </c>
      <c r="B14" s="12" t="s">
        <v>21</v>
      </c>
      <c r="C14" s="12" t="s">
        <v>192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7" ht="17.25" thickTop="1" thickBot="1" x14ac:dyDescent="0.25">
      <c r="A15" s="7" t="s">
        <v>22</v>
      </c>
      <c r="B15" s="12" t="s">
        <v>22</v>
      </c>
      <c r="C15" s="12" t="s">
        <v>193</v>
      </c>
      <c r="D15" s="12" t="s">
        <v>160</v>
      </c>
      <c r="E15" s="12" t="s">
        <v>160</v>
      </c>
      <c r="F15" s="12" t="s">
        <v>160</v>
      </c>
      <c r="G15" s="12" t="s">
        <v>160</v>
      </c>
      <c r="H15" s="12" t="s">
        <v>160</v>
      </c>
      <c r="I15" s="12" t="s">
        <v>160</v>
      </c>
      <c r="J15" s="12" t="s">
        <v>160</v>
      </c>
      <c r="K15" s="12" t="s">
        <v>160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7" ht="17.25" thickTop="1" thickBot="1" x14ac:dyDescent="0.25">
      <c r="A16" s="7" t="s">
        <v>23</v>
      </c>
      <c r="B16" s="12" t="s">
        <v>23</v>
      </c>
      <c r="C16" s="12" t="s">
        <v>194</v>
      </c>
      <c r="D16" s="12" t="s">
        <v>195</v>
      </c>
      <c r="E16" s="12" t="s">
        <v>196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24</v>
      </c>
      <c r="B17" s="12" t="s">
        <v>24</v>
      </c>
      <c r="C17" s="12" t="s">
        <v>197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33" thickTop="1" thickBot="1" x14ac:dyDescent="0.25">
      <c r="A18" s="7" t="s">
        <v>25</v>
      </c>
      <c r="B18" s="12" t="s">
        <v>25</v>
      </c>
      <c r="C18" s="12" t="s">
        <v>198</v>
      </c>
      <c r="D18" s="12" t="s">
        <v>199</v>
      </c>
      <c r="E18" s="12" t="s">
        <v>200</v>
      </c>
      <c r="F18" s="12" t="s">
        <v>201</v>
      </c>
      <c r="G18" s="12" t="s">
        <v>202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33" thickTop="1" thickBot="1" x14ac:dyDescent="0.25">
      <c r="A19" s="7" t="s">
        <v>26</v>
      </c>
      <c r="B19" s="12" t="s">
        <v>26</v>
      </c>
      <c r="C19" s="12" t="s">
        <v>203</v>
      </c>
      <c r="D19" s="12" t="s">
        <v>204</v>
      </c>
      <c r="E19" s="12" t="s">
        <v>205</v>
      </c>
      <c r="F19" s="12" t="s">
        <v>206</v>
      </c>
      <c r="G19" s="12" t="s">
        <v>207</v>
      </c>
      <c r="H19" s="12" t="s">
        <v>208</v>
      </c>
      <c r="I19" s="12" t="s">
        <v>209</v>
      </c>
      <c r="J19" s="12" t="s">
        <v>210</v>
      </c>
      <c r="K19" s="12" t="s">
        <v>211</v>
      </c>
      <c r="L19" s="12" t="s">
        <v>694</v>
      </c>
      <c r="M19" s="12" t="s">
        <v>695</v>
      </c>
      <c r="N19" s="12" t="s">
        <v>212</v>
      </c>
      <c r="O19" s="12" t="s">
        <v>213</v>
      </c>
      <c r="P19" s="12" t="s">
        <v>214</v>
      </c>
      <c r="Q19" s="12" t="s">
        <v>215</v>
      </c>
      <c r="R19" s="12" t="s">
        <v>216</v>
      </c>
      <c r="S19" s="12" t="s">
        <v>217</v>
      </c>
      <c r="T19" s="12" t="s">
        <v>218</v>
      </c>
      <c r="U19" s="12" t="s">
        <v>219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17.25" thickTop="1" thickBot="1" x14ac:dyDescent="0.25">
      <c r="A20" s="7" t="s">
        <v>27</v>
      </c>
      <c r="B20" s="12" t="s">
        <v>27</v>
      </c>
      <c r="C20" s="12" t="s">
        <v>220</v>
      </c>
      <c r="D20" s="12" t="s">
        <v>160</v>
      </c>
      <c r="E20" s="12" t="s">
        <v>160</v>
      </c>
      <c r="F20" s="12" t="s">
        <v>160</v>
      </c>
      <c r="G20" s="12" t="s">
        <v>160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17.25" thickTop="1" thickBot="1" x14ac:dyDescent="0.25">
      <c r="A21" s="7" t="s">
        <v>31</v>
      </c>
      <c r="B21" s="12" t="s">
        <v>31</v>
      </c>
      <c r="C21" s="12" t="s">
        <v>221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32</v>
      </c>
      <c r="B22" s="12" t="s">
        <v>32</v>
      </c>
      <c r="C22" s="12" t="s">
        <v>222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33" thickTop="1" thickBot="1" x14ac:dyDescent="0.25">
      <c r="A23" s="7" t="s">
        <v>33</v>
      </c>
      <c r="B23" s="12" t="s">
        <v>33</v>
      </c>
      <c r="C23" s="12" t="s">
        <v>223</v>
      </c>
      <c r="D23" s="12" t="s">
        <v>224</v>
      </c>
      <c r="E23" s="12" t="s">
        <v>225</v>
      </c>
      <c r="F23" s="12" t="s">
        <v>226</v>
      </c>
      <c r="G23" s="12" t="s">
        <v>227</v>
      </c>
      <c r="H23" s="12" t="s">
        <v>228</v>
      </c>
      <c r="I23" s="12" t="s">
        <v>229</v>
      </c>
      <c r="J23" s="12" t="s">
        <v>230</v>
      </c>
      <c r="K23" s="12" t="s">
        <v>231</v>
      </c>
      <c r="L23" s="12" t="s">
        <v>232</v>
      </c>
      <c r="M23" s="12" t="s">
        <v>233</v>
      </c>
      <c r="N23" s="12" t="s">
        <v>234</v>
      </c>
      <c r="O23" s="12" t="s">
        <v>235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34</v>
      </c>
      <c r="B24" s="12" t="s">
        <v>34</v>
      </c>
      <c r="C24" s="12" t="s">
        <v>236</v>
      </c>
      <c r="D24" s="12" t="s">
        <v>666</v>
      </c>
      <c r="E24" s="12" t="s">
        <v>667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17.25" thickTop="1" thickBot="1" x14ac:dyDescent="0.25">
      <c r="A25" s="7" t="s">
        <v>35</v>
      </c>
      <c r="B25" s="12" t="s">
        <v>35</v>
      </c>
      <c r="C25" s="12" t="s">
        <v>237</v>
      </c>
      <c r="D25" s="12" t="s">
        <v>160</v>
      </c>
      <c r="E25" s="12" t="s">
        <v>160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36</v>
      </c>
      <c r="B26" s="12" t="s">
        <v>36</v>
      </c>
      <c r="C26" s="12" t="s">
        <v>238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37</v>
      </c>
      <c r="B27" s="12" t="s">
        <v>37</v>
      </c>
      <c r="C27" s="12" t="s">
        <v>239</v>
      </c>
      <c r="D27" s="12" t="s">
        <v>240</v>
      </c>
      <c r="E27" s="12" t="s">
        <v>241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38</v>
      </c>
      <c r="B28" s="12" t="s">
        <v>38</v>
      </c>
      <c r="C28" s="12" t="s">
        <v>242</v>
      </c>
      <c r="D28" s="12" t="s">
        <v>243</v>
      </c>
      <c r="E28" s="12" t="s">
        <v>244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33" thickTop="1" thickBot="1" x14ac:dyDescent="0.25">
      <c r="A29" s="7" t="s">
        <v>39</v>
      </c>
      <c r="B29" s="12" t="s">
        <v>245</v>
      </c>
      <c r="C29" s="12" t="s">
        <v>39</v>
      </c>
      <c r="D29" s="12" t="s">
        <v>246</v>
      </c>
      <c r="E29" s="12" t="s">
        <v>247</v>
      </c>
      <c r="F29" s="12" t="s">
        <v>248</v>
      </c>
      <c r="G29" s="12" t="s">
        <v>249</v>
      </c>
      <c r="H29" s="12" t="s">
        <v>250</v>
      </c>
      <c r="I29" s="12" t="s">
        <v>251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40</v>
      </c>
      <c r="B30" s="12" t="s">
        <v>40</v>
      </c>
      <c r="C30" s="12" t="s">
        <v>252</v>
      </c>
      <c r="D30" s="12" t="s">
        <v>724</v>
      </c>
      <c r="E30" s="12" t="s">
        <v>725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17.25" thickTop="1" thickBot="1" x14ac:dyDescent="0.25">
      <c r="A31" s="7" t="s">
        <v>41</v>
      </c>
      <c r="B31" s="12" t="s">
        <v>41</v>
      </c>
      <c r="C31" s="12" t="s">
        <v>253</v>
      </c>
      <c r="D31" s="12" t="s">
        <v>160</v>
      </c>
      <c r="E31" s="12" t="s">
        <v>160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42</v>
      </c>
      <c r="B32" s="12" t="s">
        <v>42</v>
      </c>
      <c r="C32" s="12" t="s">
        <v>254</v>
      </c>
      <c r="D32" s="12" t="s">
        <v>731</v>
      </c>
      <c r="E32" s="12" t="s">
        <v>732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7" ht="33" thickTop="1" thickBot="1" x14ac:dyDescent="0.25">
      <c r="A33" s="7" t="s">
        <v>43</v>
      </c>
      <c r="B33" s="12" t="s">
        <v>43</v>
      </c>
      <c r="C33" s="12" t="s">
        <v>255</v>
      </c>
      <c r="D33" s="12" t="s">
        <v>256</v>
      </c>
      <c r="E33" s="12" t="s">
        <v>257</v>
      </c>
      <c r="F33" s="12" t="s">
        <v>258</v>
      </c>
      <c r="G33" s="12" t="s">
        <v>259</v>
      </c>
      <c r="H33" s="12" t="s">
        <v>260</v>
      </c>
      <c r="I33" s="12" t="s">
        <v>261</v>
      </c>
      <c r="J33" s="12" t="s">
        <v>262</v>
      </c>
      <c r="K33" s="12" t="s">
        <v>263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7" ht="17.25" thickTop="1" thickBot="1" x14ac:dyDescent="0.25">
      <c r="A34" s="7" t="s">
        <v>44</v>
      </c>
      <c r="B34" s="12" t="s">
        <v>44</v>
      </c>
      <c r="C34" s="12" t="s">
        <v>264</v>
      </c>
      <c r="D34" s="12" t="s">
        <v>160</v>
      </c>
      <c r="E34" s="12" t="s">
        <v>160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7" ht="17.25" thickTop="1" thickBot="1" x14ac:dyDescent="0.25">
      <c r="A35" s="7" t="s">
        <v>45</v>
      </c>
      <c r="B35" s="12" t="s">
        <v>45</v>
      </c>
      <c r="C35" s="12" t="s">
        <v>265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7" ht="17.25" thickTop="1" thickBot="1" x14ac:dyDescent="0.25">
      <c r="A36" s="7" t="s">
        <v>46</v>
      </c>
      <c r="B36" s="12" t="s">
        <v>46</v>
      </c>
      <c r="C36" s="12" t="s">
        <v>266</v>
      </c>
      <c r="D36" s="12" t="s">
        <v>574</v>
      </c>
      <c r="E36" s="12" t="s">
        <v>575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7" ht="17.25" thickTop="1" thickBot="1" x14ac:dyDescent="0.25">
      <c r="A37" s="7" t="s">
        <v>47</v>
      </c>
      <c r="B37" s="12" t="s">
        <v>47</v>
      </c>
      <c r="C37" s="12" t="s">
        <v>267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7" ht="17.25" thickTop="1" thickBot="1" x14ac:dyDescent="0.25">
      <c r="A38" s="7" t="s">
        <v>48</v>
      </c>
      <c r="B38" s="12" t="s">
        <v>48</v>
      </c>
      <c r="C38" s="12" t="s">
        <v>268</v>
      </c>
      <c r="D38" s="12" t="s">
        <v>269</v>
      </c>
      <c r="E38" s="12" t="s">
        <v>270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7" ht="33" thickTop="1" thickBot="1" x14ac:dyDescent="0.25">
      <c r="A39" s="7" t="s">
        <v>49</v>
      </c>
      <c r="B39" s="12" t="s">
        <v>49</v>
      </c>
      <c r="C39" s="12" t="s">
        <v>271</v>
      </c>
      <c r="D39" s="12" t="s">
        <v>272</v>
      </c>
      <c r="E39" s="12" t="s">
        <v>273</v>
      </c>
      <c r="F39" s="12" t="s">
        <v>274</v>
      </c>
      <c r="G39" s="12" t="s">
        <v>275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7" ht="17.25" thickTop="1" thickBot="1" x14ac:dyDescent="0.25">
      <c r="A40" s="7" t="s">
        <v>50</v>
      </c>
      <c r="B40" s="12" t="s">
        <v>50</v>
      </c>
      <c r="C40" s="12" t="s">
        <v>276</v>
      </c>
      <c r="D40" s="12" t="s">
        <v>160</v>
      </c>
      <c r="E40" s="12" t="s">
        <v>160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</row>
    <row r="41" spans="1:27" ht="17.25" thickTop="1" thickBot="1" x14ac:dyDescent="0.25">
      <c r="A41" s="7" t="s">
        <v>51</v>
      </c>
      <c r="B41" s="12" t="s">
        <v>51</v>
      </c>
      <c r="C41" s="12" t="s">
        <v>277</v>
      </c>
      <c r="D41" s="12" t="s">
        <v>726</v>
      </c>
      <c r="E41" s="12" t="s">
        <v>278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7" ht="17.25" thickTop="1" thickBot="1" x14ac:dyDescent="0.25">
      <c r="A42" s="7" t="s">
        <v>52</v>
      </c>
      <c r="B42" s="12" t="s">
        <v>52</v>
      </c>
      <c r="C42" s="12" t="s">
        <v>279</v>
      </c>
      <c r="D42" s="12" t="s">
        <v>160</v>
      </c>
      <c r="E42" s="12" t="s">
        <v>160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7" ht="17.25" thickTop="1" thickBot="1" x14ac:dyDescent="0.25">
      <c r="A43" s="7" t="s">
        <v>53</v>
      </c>
      <c r="B43" s="12" t="s">
        <v>53</v>
      </c>
      <c r="C43" s="12" t="s">
        <v>280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7" ht="17.25" thickTop="1" thickBot="1" x14ac:dyDescent="0.25">
      <c r="A44" s="7" t="s">
        <v>54</v>
      </c>
      <c r="B44" s="12" t="s">
        <v>54</v>
      </c>
      <c r="C44" s="12" t="s">
        <v>281</v>
      </c>
      <c r="D44" s="12" t="s">
        <v>282</v>
      </c>
      <c r="E44" s="12" t="s">
        <v>283</v>
      </c>
      <c r="F44" s="12" t="s">
        <v>284</v>
      </c>
      <c r="G44" s="12" t="s">
        <v>285</v>
      </c>
      <c r="H44" s="12" t="s">
        <v>286</v>
      </c>
      <c r="I44" s="12" t="s">
        <v>287</v>
      </c>
      <c r="J44" s="12" t="s">
        <v>288</v>
      </c>
      <c r="K44" s="12" t="s">
        <v>289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7" ht="17.25" thickTop="1" thickBot="1" x14ac:dyDescent="0.25">
      <c r="A45" s="7" t="s">
        <v>55</v>
      </c>
      <c r="B45" s="12" t="s">
        <v>55</v>
      </c>
      <c r="C45" s="12" t="s">
        <v>290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7" ht="17.25" thickTop="1" thickBot="1" x14ac:dyDescent="0.25">
      <c r="A46" s="7" t="s">
        <v>56</v>
      </c>
      <c r="B46" s="12" t="s">
        <v>56</v>
      </c>
      <c r="C46" s="12" t="s">
        <v>291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7" ht="17.25" thickTop="1" thickBot="1" x14ac:dyDescent="0.25">
      <c r="A47" s="7" t="s">
        <v>57</v>
      </c>
      <c r="B47" s="12" t="s">
        <v>57</v>
      </c>
      <c r="C47" s="12" t="s">
        <v>292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7" ht="17.25" thickTop="1" thickBot="1" x14ac:dyDescent="0.25">
      <c r="A48" s="7" t="s">
        <v>58</v>
      </c>
      <c r="B48" s="12" t="s">
        <v>58</v>
      </c>
      <c r="C48" s="12" t="s">
        <v>293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59</v>
      </c>
      <c r="B49" s="12" t="s">
        <v>59</v>
      </c>
      <c r="C49" s="12" t="s">
        <v>294</v>
      </c>
      <c r="D49" s="12" t="s">
        <v>295</v>
      </c>
      <c r="E49" s="12" t="s">
        <v>296</v>
      </c>
      <c r="F49" s="12" t="s">
        <v>297</v>
      </c>
      <c r="G49" s="12" t="s">
        <v>298</v>
      </c>
      <c r="H49" s="12" t="s">
        <v>299</v>
      </c>
      <c r="I49" s="12" t="s">
        <v>300</v>
      </c>
      <c r="J49" s="12" t="s">
        <v>301</v>
      </c>
      <c r="K49" s="12" t="s">
        <v>302</v>
      </c>
      <c r="L49" s="12" t="s">
        <v>303</v>
      </c>
      <c r="M49" s="12" t="s">
        <v>304</v>
      </c>
      <c r="N49" s="12" t="s">
        <v>305</v>
      </c>
      <c r="O49" s="12" t="s">
        <v>306</v>
      </c>
      <c r="P49" s="12" t="s">
        <v>307</v>
      </c>
      <c r="Q49" s="12" t="s">
        <v>308</v>
      </c>
      <c r="R49" s="12" t="s">
        <v>309</v>
      </c>
      <c r="S49" s="12" t="s">
        <v>310</v>
      </c>
      <c r="T49" s="12" t="s">
        <v>311</v>
      </c>
      <c r="U49" s="12" t="s">
        <v>312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60</v>
      </c>
      <c r="B50" s="12" t="s">
        <v>60</v>
      </c>
      <c r="C50" s="12" t="s">
        <v>313</v>
      </c>
      <c r="D50" s="12" t="s">
        <v>661</v>
      </c>
      <c r="E50" s="12" t="s">
        <v>662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61</v>
      </c>
      <c r="B51" s="12" t="s">
        <v>61</v>
      </c>
      <c r="C51" s="12" t="s">
        <v>314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62</v>
      </c>
      <c r="B52" s="12" t="s">
        <v>62</v>
      </c>
      <c r="C52" s="12" t="s">
        <v>315</v>
      </c>
      <c r="D52" s="12" t="s">
        <v>160</v>
      </c>
      <c r="E52" s="12" t="s">
        <v>160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33" thickTop="1" thickBot="1" x14ac:dyDescent="0.25">
      <c r="A53" s="7" t="s">
        <v>63</v>
      </c>
      <c r="B53" s="12" t="s">
        <v>63</v>
      </c>
      <c r="C53" s="12" t="s">
        <v>316</v>
      </c>
      <c r="D53" s="12" t="s">
        <v>317</v>
      </c>
      <c r="E53" s="12" t="s">
        <v>318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64</v>
      </c>
      <c r="B54" s="12" t="s">
        <v>64</v>
      </c>
      <c r="C54" s="12" t="s">
        <v>319</v>
      </c>
      <c r="D54" s="12" t="s">
        <v>320</v>
      </c>
      <c r="E54" s="12" t="s">
        <v>321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65</v>
      </c>
      <c r="B55" s="12" t="s">
        <v>65</v>
      </c>
      <c r="C55" s="12" t="s">
        <v>322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17.25" thickTop="1" thickBot="1" x14ac:dyDescent="0.25">
      <c r="A56" s="7" t="s">
        <v>66</v>
      </c>
      <c r="B56" s="12" t="s">
        <v>66</v>
      </c>
      <c r="C56" s="12" t="s">
        <v>323</v>
      </c>
      <c r="D56" s="12" t="s">
        <v>160</v>
      </c>
      <c r="E56" s="12" t="s">
        <v>160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67</v>
      </c>
      <c r="B57" s="12" t="s">
        <v>324</v>
      </c>
      <c r="C57" s="12" t="s">
        <v>325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68</v>
      </c>
      <c r="B58" s="12" t="s">
        <v>68</v>
      </c>
      <c r="C58" s="12" t="s">
        <v>326</v>
      </c>
      <c r="D58" s="12" t="s">
        <v>327</v>
      </c>
      <c r="E58" s="12" t="s">
        <v>328</v>
      </c>
      <c r="F58" s="12" t="s">
        <v>329</v>
      </c>
      <c r="G58" s="12" t="s">
        <v>330</v>
      </c>
      <c r="H58" s="12" t="s">
        <v>331</v>
      </c>
      <c r="I58" s="12" t="s">
        <v>332</v>
      </c>
      <c r="J58" s="12" t="s">
        <v>333</v>
      </c>
      <c r="K58" s="12" t="s">
        <v>334</v>
      </c>
      <c r="L58" s="12" t="s">
        <v>335</v>
      </c>
      <c r="M58" s="12" t="s">
        <v>336</v>
      </c>
      <c r="N58" s="12" t="s">
        <v>337</v>
      </c>
      <c r="O58" s="12" t="s">
        <v>338</v>
      </c>
      <c r="P58" s="12" t="s">
        <v>339</v>
      </c>
      <c r="Q58" s="12" t="s">
        <v>340</v>
      </c>
      <c r="R58" s="12" t="s">
        <v>341</v>
      </c>
      <c r="S58" s="12" t="s">
        <v>342</v>
      </c>
      <c r="T58" s="12" t="s">
        <v>343</v>
      </c>
      <c r="U58" s="12" t="s">
        <v>365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69</v>
      </c>
      <c r="B59" s="12" t="s">
        <v>69</v>
      </c>
      <c r="C59" s="12" t="s">
        <v>344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70</v>
      </c>
      <c r="B60" s="12" t="s">
        <v>70</v>
      </c>
      <c r="C60" s="12" t="s">
        <v>345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71</v>
      </c>
      <c r="B61" s="12" t="s">
        <v>71</v>
      </c>
      <c r="C61" s="12" t="s">
        <v>346</v>
      </c>
      <c r="D61" s="12" t="s">
        <v>347</v>
      </c>
      <c r="E61" s="12" t="s">
        <v>348</v>
      </c>
      <c r="F61" s="12" t="s">
        <v>349</v>
      </c>
      <c r="G61" s="12" t="s">
        <v>350</v>
      </c>
      <c r="H61" s="12" t="s">
        <v>351</v>
      </c>
      <c r="I61" s="12" t="s">
        <v>352</v>
      </c>
      <c r="J61" s="12" t="s">
        <v>353</v>
      </c>
      <c r="K61" s="12" t="s">
        <v>354</v>
      </c>
      <c r="L61" s="12" t="s">
        <v>355</v>
      </c>
      <c r="M61" s="12" t="s">
        <v>356</v>
      </c>
      <c r="N61" s="12" t="s">
        <v>357</v>
      </c>
      <c r="O61" s="12" t="s">
        <v>358</v>
      </c>
      <c r="P61" s="12" t="s">
        <v>359</v>
      </c>
      <c r="Q61" s="12" t="s">
        <v>360</v>
      </c>
      <c r="R61" s="12" t="s">
        <v>361</v>
      </c>
      <c r="S61" s="12" t="s">
        <v>362</v>
      </c>
      <c r="T61" s="12" t="s">
        <v>363</v>
      </c>
      <c r="U61" s="12" t="s">
        <v>364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72</v>
      </c>
      <c r="B62" s="12" t="s">
        <v>72</v>
      </c>
      <c r="C62" s="12" t="s">
        <v>366</v>
      </c>
      <c r="D62" s="12" t="s">
        <v>367</v>
      </c>
      <c r="E62" s="12" t="s">
        <v>368</v>
      </c>
      <c r="F62" s="12" t="s">
        <v>369</v>
      </c>
      <c r="G62" s="12" t="s">
        <v>370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73</v>
      </c>
      <c r="B63" s="12" t="s">
        <v>73</v>
      </c>
      <c r="C63" s="12" t="s">
        <v>371</v>
      </c>
      <c r="D63" s="12" t="s">
        <v>372</v>
      </c>
      <c r="E63" s="12" t="s">
        <v>373</v>
      </c>
      <c r="F63" s="12" t="s">
        <v>374</v>
      </c>
      <c r="G63" s="12" t="s">
        <v>375</v>
      </c>
      <c r="H63" s="12" t="s">
        <v>376</v>
      </c>
      <c r="I63" s="12" t="s">
        <v>377</v>
      </c>
      <c r="J63" s="12" t="s">
        <v>378</v>
      </c>
      <c r="K63" s="12" t="s">
        <v>379</v>
      </c>
      <c r="L63" s="12" t="s">
        <v>380</v>
      </c>
      <c r="M63" s="12" t="s">
        <v>381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74</v>
      </c>
      <c r="B64" s="12" t="s">
        <v>74</v>
      </c>
      <c r="C64" s="12" t="s">
        <v>382</v>
      </c>
      <c r="D64" s="12" t="s">
        <v>383</v>
      </c>
      <c r="E64" s="12" t="s">
        <v>384</v>
      </c>
      <c r="F64" s="12" t="s">
        <v>160</v>
      </c>
      <c r="G64" s="12" t="s">
        <v>160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33" thickTop="1" thickBot="1" x14ac:dyDescent="0.25">
      <c r="A65" s="7" t="s">
        <v>75</v>
      </c>
      <c r="B65" s="12" t="s">
        <v>75</v>
      </c>
      <c r="C65" s="12" t="s">
        <v>385</v>
      </c>
      <c r="D65" s="12" t="s">
        <v>386</v>
      </c>
      <c r="E65" s="12" t="s">
        <v>387</v>
      </c>
      <c r="F65" s="12" t="s">
        <v>160</v>
      </c>
      <c r="G65" s="12" t="s">
        <v>160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76</v>
      </c>
      <c r="B66" s="12" t="s">
        <v>76</v>
      </c>
      <c r="C66" s="12" t="s">
        <v>388</v>
      </c>
      <c r="D66" s="12" t="s">
        <v>389</v>
      </c>
      <c r="E66" s="12" t="s">
        <v>390</v>
      </c>
      <c r="F66" s="12" t="s">
        <v>160</v>
      </c>
      <c r="G66" s="12" t="s">
        <v>160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77</v>
      </c>
      <c r="B67" s="12" t="s">
        <v>77</v>
      </c>
      <c r="C67" s="12" t="s">
        <v>391</v>
      </c>
      <c r="D67" s="12" t="s">
        <v>160</v>
      </c>
      <c r="E67" s="12" t="s">
        <v>160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78</v>
      </c>
      <c r="B68" s="12" t="s">
        <v>78</v>
      </c>
      <c r="C68" s="12" t="s">
        <v>392</v>
      </c>
      <c r="D68" s="12" t="s">
        <v>160</v>
      </c>
      <c r="E68" s="12" t="s">
        <v>160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17.25" thickTop="1" thickBot="1" x14ac:dyDescent="0.25">
      <c r="A69" s="7" t="s">
        <v>79</v>
      </c>
      <c r="B69" s="12" t="s">
        <v>79</v>
      </c>
      <c r="C69" s="12" t="s">
        <v>393</v>
      </c>
      <c r="D69" s="12" t="s">
        <v>394</v>
      </c>
      <c r="E69" s="12" t="s">
        <v>395</v>
      </c>
      <c r="F69" s="12" t="s">
        <v>396</v>
      </c>
      <c r="G69" s="12" t="s">
        <v>398</v>
      </c>
      <c r="H69" s="12" t="s">
        <v>399</v>
      </c>
      <c r="I69" s="12" t="s">
        <v>397</v>
      </c>
      <c r="J69" s="12" t="s">
        <v>400</v>
      </c>
      <c r="K69" s="12" t="s">
        <v>401</v>
      </c>
      <c r="L69" s="12" t="s">
        <v>402</v>
      </c>
      <c r="M69" s="12" t="s">
        <v>403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80</v>
      </c>
      <c r="B70" s="12" t="s">
        <v>80</v>
      </c>
      <c r="C70" s="12" t="s">
        <v>404</v>
      </c>
      <c r="D70" s="12" t="s">
        <v>405</v>
      </c>
      <c r="E70" s="12" t="s">
        <v>406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81</v>
      </c>
      <c r="B71" s="12" t="s">
        <v>81</v>
      </c>
      <c r="C71" s="12" t="s">
        <v>407</v>
      </c>
      <c r="D71" s="12" t="s">
        <v>408</v>
      </c>
      <c r="E71" s="12" t="s">
        <v>409</v>
      </c>
      <c r="F71" s="12" t="s">
        <v>701</v>
      </c>
      <c r="G71" s="12" t="s">
        <v>702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82</v>
      </c>
      <c r="B72" s="12" t="s">
        <v>82</v>
      </c>
      <c r="C72" s="12" t="s">
        <v>410</v>
      </c>
      <c r="D72" s="12" t="s">
        <v>411</v>
      </c>
      <c r="E72" s="12" t="s">
        <v>412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33" thickTop="1" thickBot="1" x14ac:dyDescent="0.25">
      <c r="A73" s="7" t="s">
        <v>83</v>
      </c>
      <c r="B73" s="12" t="s">
        <v>83</v>
      </c>
      <c r="C73" s="12" t="s">
        <v>413</v>
      </c>
      <c r="D73" s="12" t="s">
        <v>414</v>
      </c>
      <c r="E73" s="12" t="s">
        <v>415</v>
      </c>
      <c r="F73" s="12" t="s">
        <v>416</v>
      </c>
      <c r="G73" s="12" t="s">
        <v>417</v>
      </c>
      <c r="H73" s="12" t="s">
        <v>418</v>
      </c>
      <c r="I73" s="12" t="s">
        <v>663</v>
      </c>
      <c r="J73" s="12" t="s">
        <v>419</v>
      </c>
      <c r="K73" s="12" t="s">
        <v>420</v>
      </c>
      <c r="L73" s="12" t="s">
        <v>421</v>
      </c>
      <c r="M73" s="12" t="s">
        <v>422</v>
      </c>
      <c r="N73" s="12" t="s">
        <v>664</v>
      </c>
      <c r="O73" s="12" t="s">
        <v>665</v>
      </c>
      <c r="P73" s="12" t="s">
        <v>668</v>
      </c>
      <c r="Q73" s="12" t="s">
        <v>669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33" thickTop="1" thickBot="1" x14ac:dyDescent="0.25">
      <c r="A74" s="7" t="s">
        <v>84</v>
      </c>
      <c r="B74" s="12" t="s">
        <v>424</v>
      </c>
      <c r="C74" s="12" t="s">
        <v>84</v>
      </c>
      <c r="D74" s="12" t="s">
        <v>425</v>
      </c>
      <c r="E74" s="12" t="s">
        <v>423</v>
      </c>
      <c r="F74" s="12" t="s">
        <v>426</v>
      </c>
      <c r="G74" s="12" t="s">
        <v>427</v>
      </c>
      <c r="H74" s="12" t="s">
        <v>428</v>
      </c>
      <c r="I74" s="12" t="s">
        <v>429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85</v>
      </c>
      <c r="B75" s="12" t="s">
        <v>85</v>
      </c>
      <c r="C75" s="12" t="s">
        <v>430</v>
      </c>
      <c r="D75" s="12" t="s">
        <v>431</v>
      </c>
      <c r="E75" s="12" t="s">
        <v>432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86</v>
      </c>
      <c r="B76" s="12" t="s">
        <v>86</v>
      </c>
      <c r="C76" s="12" t="s">
        <v>433</v>
      </c>
      <c r="D76" s="12" t="s">
        <v>160</v>
      </c>
      <c r="E76" s="12" t="s">
        <v>160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17.25" thickTop="1" thickBot="1" x14ac:dyDescent="0.25">
      <c r="A77" s="7" t="s">
        <v>87</v>
      </c>
      <c r="B77" s="12" t="s">
        <v>87</v>
      </c>
      <c r="C77" s="12" t="s">
        <v>434</v>
      </c>
      <c r="D77" s="12" t="s">
        <v>160</v>
      </c>
      <c r="E77" s="12" t="s">
        <v>160</v>
      </c>
      <c r="F77" s="12" t="s">
        <v>160</v>
      </c>
      <c r="G77" s="12" t="s">
        <v>160</v>
      </c>
      <c r="H77" s="12" t="s">
        <v>160</v>
      </c>
      <c r="I77" s="12" t="s">
        <v>160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17.25" thickTop="1" thickBot="1" x14ac:dyDescent="0.25">
      <c r="A78" s="7" t="s">
        <v>88</v>
      </c>
      <c r="B78" s="12" t="s">
        <v>88</v>
      </c>
      <c r="C78" s="12" t="s">
        <v>435</v>
      </c>
      <c r="D78" s="12" t="s">
        <v>436</v>
      </c>
      <c r="E78" s="12" t="s">
        <v>437</v>
      </c>
      <c r="F78" s="12" t="s">
        <v>438</v>
      </c>
      <c r="G78" s="12" t="s">
        <v>439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s="42" customFormat="1" ht="17.25" thickTop="1" thickBot="1" x14ac:dyDescent="0.25">
      <c r="A79" s="7" t="s">
        <v>737</v>
      </c>
      <c r="B79" s="12" t="s">
        <v>737</v>
      </c>
      <c r="C79" s="12" t="s">
        <v>738</v>
      </c>
      <c r="D79" s="12" t="s">
        <v>739</v>
      </c>
      <c r="E79" s="43" t="s">
        <v>740</v>
      </c>
      <c r="F79" s="43" t="s">
        <v>741</v>
      </c>
      <c r="G79" s="43" t="s">
        <v>742</v>
      </c>
      <c r="H79" s="43" t="s">
        <v>743</v>
      </c>
      <c r="I79" s="43" t="s">
        <v>744</v>
      </c>
      <c r="J79" s="43" t="s">
        <v>160</v>
      </c>
      <c r="K79" s="43" t="s">
        <v>160</v>
      </c>
      <c r="L79" s="43" t="s">
        <v>160</v>
      </c>
      <c r="M79" s="43" t="s">
        <v>160</v>
      </c>
      <c r="N79" s="43" t="s">
        <v>160</v>
      </c>
      <c r="O79" s="43" t="s">
        <v>160</v>
      </c>
      <c r="P79" s="43" t="s">
        <v>160</v>
      </c>
      <c r="Q79" s="43" t="s">
        <v>160</v>
      </c>
      <c r="R79" s="43" t="s">
        <v>160</v>
      </c>
      <c r="S79" s="43" t="s">
        <v>160</v>
      </c>
      <c r="T79" s="43" t="s">
        <v>160</v>
      </c>
      <c r="U79" s="43" t="s">
        <v>160</v>
      </c>
      <c r="V79" s="43" t="s">
        <v>160</v>
      </c>
      <c r="W79" s="43" t="s">
        <v>160</v>
      </c>
      <c r="X79" s="43" t="s">
        <v>160</v>
      </c>
      <c r="Y79" s="43" t="s">
        <v>160</v>
      </c>
      <c r="Z79" s="43" t="s">
        <v>160</v>
      </c>
      <c r="AA79" s="43" t="s">
        <v>160</v>
      </c>
    </row>
    <row r="80" spans="1:27" ht="17.25" thickTop="1" thickBot="1" x14ac:dyDescent="0.25">
      <c r="A80" s="7" t="s">
        <v>89</v>
      </c>
      <c r="B80" s="12" t="s">
        <v>89</v>
      </c>
      <c r="C80" s="12" t="s">
        <v>440</v>
      </c>
      <c r="D80" s="12" t="s">
        <v>441</v>
      </c>
      <c r="E80" s="12" t="s">
        <v>442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ht="17.25" thickTop="1" thickBot="1" x14ac:dyDescent="0.25">
      <c r="A81" s="7" t="s">
        <v>90</v>
      </c>
      <c r="B81" s="12" t="s">
        <v>90</v>
      </c>
      <c r="C81" s="12" t="s">
        <v>443</v>
      </c>
      <c r="D81" s="12" t="s">
        <v>444</v>
      </c>
      <c r="E81" s="12" t="s">
        <v>445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33" thickTop="1" thickBot="1" x14ac:dyDescent="0.25">
      <c r="A82" s="7" t="s">
        <v>672</v>
      </c>
      <c r="B82" s="12" t="s">
        <v>91</v>
      </c>
      <c r="C82" s="12" t="s">
        <v>446</v>
      </c>
      <c r="D82" s="12" t="s">
        <v>670</v>
      </c>
      <c r="E82" s="12" t="s">
        <v>671</v>
      </c>
      <c r="F82" s="12" t="s">
        <v>672</v>
      </c>
      <c r="G82" s="12" t="s">
        <v>673</v>
      </c>
      <c r="H82" s="12" t="s">
        <v>674</v>
      </c>
      <c r="I82" s="12" t="s">
        <v>675</v>
      </c>
      <c r="J82" s="12" t="s">
        <v>676</v>
      </c>
      <c r="K82" s="12" t="s">
        <v>677</v>
      </c>
      <c r="L82" s="12" t="s">
        <v>678</v>
      </c>
      <c r="M82" s="12" t="s">
        <v>679</v>
      </c>
      <c r="N82" s="12" t="s">
        <v>680</v>
      </c>
      <c r="O82" s="12" t="s">
        <v>681</v>
      </c>
      <c r="P82" s="12" t="s">
        <v>682</v>
      </c>
      <c r="Q82" s="12" t="s">
        <v>683</v>
      </c>
      <c r="R82" s="12" t="s">
        <v>684</v>
      </c>
      <c r="S82" s="12" t="s">
        <v>685</v>
      </c>
      <c r="T82" s="12" t="s">
        <v>686</v>
      </c>
      <c r="U82" s="12" t="s">
        <v>687</v>
      </c>
      <c r="V82" s="12" t="s">
        <v>688</v>
      </c>
      <c r="W82" s="12" t="s">
        <v>689</v>
      </c>
      <c r="X82" s="12" t="s">
        <v>690</v>
      </c>
      <c r="Y82" s="12" t="s">
        <v>691</v>
      </c>
      <c r="Z82" s="12" t="s">
        <v>692</v>
      </c>
      <c r="AA82" s="12" t="s">
        <v>693</v>
      </c>
    </row>
    <row r="83" spans="1:27" ht="17.25" thickTop="1" thickBot="1" x14ac:dyDescent="0.25">
      <c r="A83" s="7" t="s">
        <v>92</v>
      </c>
      <c r="B83" s="12" t="s">
        <v>92</v>
      </c>
      <c r="C83" s="12" t="s">
        <v>447</v>
      </c>
      <c r="D83" s="12" t="s">
        <v>160</v>
      </c>
      <c r="E83" s="12" t="s">
        <v>160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</row>
    <row r="84" spans="1:27" ht="17.25" thickTop="1" thickBot="1" x14ac:dyDescent="0.25">
      <c r="A84" s="7" t="s">
        <v>93</v>
      </c>
      <c r="B84" s="12" t="s">
        <v>93</v>
      </c>
      <c r="C84" s="12" t="s">
        <v>448</v>
      </c>
      <c r="D84" s="12" t="s">
        <v>449</v>
      </c>
      <c r="E84" s="12" t="s">
        <v>450</v>
      </c>
      <c r="F84" s="12" t="s">
        <v>735</v>
      </c>
      <c r="G84" s="12" t="s">
        <v>734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94</v>
      </c>
      <c r="B85" s="12" t="s">
        <v>94</v>
      </c>
      <c r="C85" s="12" t="s">
        <v>451</v>
      </c>
      <c r="D85" s="12" t="s">
        <v>160</v>
      </c>
      <c r="E85" s="12" t="s">
        <v>160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95</v>
      </c>
      <c r="B86" s="12" t="s">
        <v>95</v>
      </c>
      <c r="C86" s="12" t="s">
        <v>452</v>
      </c>
      <c r="D86" s="12" t="s">
        <v>453</v>
      </c>
      <c r="E86" s="12" t="s">
        <v>454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</row>
    <row r="87" spans="1:27" ht="17.25" thickTop="1" thickBot="1" x14ac:dyDescent="0.25">
      <c r="A87" s="7" t="s">
        <v>96</v>
      </c>
      <c r="B87" s="12" t="s">
        <v>96</v>
      </c>
      <c r="C87" s="12" t="s">
        <v>455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158</v>
      </c>
      <c r="B88" s="12" t="s">
        <v>158</v>
      </c>
      <c r="C88" s="12" t="s">
        <v>456</v>
      </c>
      <c r="D88" s="12" t="s">
        <v>160</v>
      </c>
      <c r="E88" s="12" t="s">
        <v>160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97</v>
      </c>
      <c r="B89" s="12" t="s">
        <v>97</v>
      </c>
      <c r="C89" s="12" t="s">
        <v>457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17.25" thickTop="1" thickBot="1" x14ac:dyDescent="0.25">
      <c r="A90" s="7" t="s">
        <v>98</v>
      </c>
      <c r="B90" s="12" t="s">
        <v>98</v>
      </c>
      <c r="C90" s="12" t="s">
        <v>458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99</v>
      </c>
      <c r="B91" s="12" t="s">
        <v>99</v>
      </c>
      <c r="C91" s="12" t="s">
        <v>459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100</v>
      </c>
      <c r="B92" s="12" t="s">
        <v>100</v>
      </c>
      <c r="C92" s="12" t="s">
        <v>460</v>
      </c>
      <c r="D92" s="12" t="s">
        <v>461</v>
      </c>
      <c r="E92" s="12" t="s">
        <v>462</v>
      </c>
      <c r="F92" s="12" t="s">
        <v>463</v>
      </c>
      <c r="G92" s="12" t="s">
        <v>464</v>
      </c>
      <c r="H92" s="12" t="s">
        <v>465</v>
      </c>
      <c r="I92" s="12" t="s">
        <v>466</v>
      </c>
      <c r="J92" s="12" t="s">
        <v>467</v>
      </c>
      <c r="K92" s="12" t="s">
        <v>468</v>
      </c>
      <c r="L92" s="12" t="s">
        <v>469</v>
      </c>
      <c r="M92" s="12" t="s">
        <v>470</v>
      </c>
      <c r="N92" s="12" t="s">
        <v>471</v>
      </c>
      <c r="O92" s="12" t="s">
        <v>472</v>
      </c>
      <c r="P92" s="12" t="s">
        <v>473</v>
      </c>
      <c r="Q92" s="12" t="s">
        <v>474</v>
      </c>
      <c r="R92" s="12" t="s">
        <v>475</v>
      </c>
      <c r="S92" s="12" t="s">
        <v>476</v>
      </c>
      <c r="T92" s="12" t="s">
        <v>477</v>
      </c>
      <c r="U92" s="12" t="s">
        <v>478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33" thickTop="1" thickBot="1" x14ac:dyDescent="0.25">
      <c r="A93" s="7" t="s">
        <v>101</v>
      </c>
      <c r="B93" s="12" t="s">
        <v>101</v>
      </c>
      <c r="C93" s="12" t="s">
        <v>479</v>
      </c>
      <c r="D93" s="12" t="s">
        <v>480</v>
      </c>
      <c r="E93" s="12" t="s">
        <v>481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102</v>
      </c>
      <c r="B94" s="12" t="s">
        <v>102</v>
      </c>
      <c r="C94" s="12" t="s">
        <v>482</v>
      </c>
      <c r="D94" s="12" t="s">
        <v>483</v>
      </c>
      <c r="E94" s="12" t="s">
        <v>484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103</v>
      </c>
      <c r="B95" s="12" t="s">
        <v>103</v>
      </c>
      <c r="C95" s="12" t="s">
        <v>485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104</v>
      </c>
      <c r="B96" s="12" t="s">
        <v>104</v>
      </c>
      <c r="C96" s="12" t="s">
        <v>486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105</v>
      </c>
      <c r="B97" s="12" t="s">
        <v>105</v>
      </c>
      <c r="C97" s="12" t="s">
        <v>487</v>
      </c>
      <c r="D97" s="12" t="s">
        <v>160</v>
      </c>
      <c r="E97" s="12" t="s">
        <v>160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106</v>
      </c>
      <c r="B98" s="12" t="s">
        <v>106</v>
      </c>
      <c r="C98" s="12" t="s">
        <v>488</v>
      </c>
      <c r="D98" s="12" t="s">
        <v>489</v>
      </c>
      <c r="E98" s="12" t="s">
        <v>490</v>
      </c>
      <c r="F98" s="12" t="s">
        <v>491</v>
      </c>
      <c r="G98" s="12" t="s">
        <v>492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17.25" thickTop="1" thickBot="1" x14ac:dyDescent="0.25">
      <c r="A99" s="7" t="s">
        <v>107</v>
      </c>
      <c r="B99" s="12" t="s">
        <v>107</v>
      </c>
      <c r="C99" s="12" t="s">
        <v>493</v>
      </c>
      <c r="D99" s="12" t="s">
        <v>160</v>
      </c>
      <c r="E99" s="12" t="s">
        <v>160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108</v>
      </c>
      <c r="B100" s="12" t="s">
        <v>108</v>
      </c>
      <c r="C100" s="12" t="s">
        <v>494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109</v>
      </c>
      <c r="B101" s="12" t="s">
        <v>109</v>
      </c>
      <c r="C101" s="12" t="s">
        <v>495</v>
      </c>
      <c r="D101" s="12" t="s">
        <v>497</v>
      </c>
      <c r="E101" s="12" t="s">
        <v>496</v>
      </c>
      <c r="F101" s="12" t="s">
        <v>736</v>
      </c>
      <c r="G101" s="12" t="s">
        <v>495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110</v>
      </c>
      <c r="B102" s="12" t="s">
        <v>110</v>
      </c>
      <c r="C102" s="12" t="s">
        <v>498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111</v>
      </c>
      <c r="B103" s="12" t="s">
        <v>111</v>
      </c>
      <c r="C103" s="12" t="s">
        <v>499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112</v>
      </c>
      <c r="B104" s="12" t="s">
        <v>112</v>
      </c>
      <c r="C104" s="12" t="s">
        <v>500</v>
      </c>
      <c r="D104" s="12" t="s">
        <v>501</v>
      </c>
      <c r="E104" s="12" t="s">
        <v>502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113</v>
      </c>
      <c r="B105" s="12" t="s">
        <v>113</v>
      </c>
      <c r="C105" s="12" t="s">
        <v>503</v>
      </c>
      <c r="D105" s="12" t="s">
        <v>160</v>
      </c>
      <c r="E105" s="12" t="s">
        <v>160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114</v>
      </c>
      <c r="B106" s="12" t="s">
        <v>114</v>
      </c>
      <c r="C106" s="12" t="s">
        <v>504</v>
      </c>
      <c r="D106" s="12" t="s">
        <v>160</v>
      </c>
      <c r="E106" s="12" t="s">
        <v>160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17.25" thickTop="1" thickBot="1" x14ac:dyDescent="0.25">
      <c r="A107" s="7" t="s">
        <v>115</v>
      </c>
      <c r="B107" s="12" t="s">
        <v>115</v>
      </c>
      <c r="C107" s="12" t="s">
        <v>505</v>
      </c>
      <c r="D107" s="12" t="s">
        <v>506</v>
      </c>
      <c r="E107" s="12" t="s">
        <v>507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116</v>
      </c>
      <c r="B108" s="12" t="s">
        <v>116</v>
      </c>
      <c r="C108" s="12" t="s">
        <v>508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s="44" customFormat="1" ht="17.25" thickTop="1" thickBot="1" x14ac:dyDescent="0.25">
      <c r="A109" s="7" t="s">
        <v>745</v>
      </c>
      <c r="B109" s="12" t="s">
        <v>745</v>
      </c>
      <c r="C109" s="12" t="s">
        <v>746</v>
      </c>
      <c r="D109" s="12" t="s">
        <v>747</v>
      </c>
      <c r="E109" s="43" t="s">
        <v>748</v>
      </c>
      <c r="F109" s="43" t="s">
        <v>749</v>
      </c>
      <c r="G109" s="43" t="s">
        <v>750</v>
      </c>
      <c r="H109" s="43" t="s">
        <v>160</v>
      </c>
      <c r="I109" s="43" t="s">
        <v>160</v>
      </c>
      <c r="J109" s="43" t="s">
        <v>160</v>
      </c>
      <c r="K109" s="43" t="s">
        <v>160</v>
      </c>
      <c r="L109" s="43" t="s">
        <v>160</v>
      </c>
      <c r="M109" s="43" t="s">
        <v>160</v>
      </c>
      <c r="N109" s="43" t="s">
        <v>160</v>
      </c>
      <c r="O109" s="43" t="s">
        <v>160</v>
      </c>
      <c r="P109" s="43" t="s">
        <v>160</v>
      </c>
      <c r="Q109" s="43" t="s">
        <v>160</v>
      </c>
      <c r="R109" s="43" t="s">
        <v>160</v>
      </c>
      <c r="S109" s="43" t="s">
        <v>160</v>
      </c>
      <c r="T109" s="43" t="s">
        <v>160</v>
      </c>
      <c r="U109" s="43" t="s">
        <v>160</v>
      </c>
      <c r="V109" s="43" t="s">
        <v>160</v>
      </c>
      <c r="W109" s="43" t="s">
        <v>160</v>
      </c>
      <c r="X109" s="43" t="s">
        <v>160</v>
      </c>
      <c r="Y109" s="43" t="s">
        <v>160</v>
      </c>
      <c r="Z109" s="43" t="s">
        <v>160</v>
      </c>
      <c r="AA109" s="43" t="s">
        <v>160</v>
      </c>
      <c r="AB109" s="43"/>
    </row>
    <row r="110" spans="1:28" ht="17.25" thickTop="1" thickBot="1" x14ac:dyDescent="0.25">
      <c r="A110" s="7" t="s">
        <v>117</v>
      </c>
      <c r="B110" s="12" t="s">
        <v>117</v>
      </c>
      <c r="C110" s="12" t="s">
        <v>509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ht="33" thickTop="1" thickBot="1" x14ac:dyDescent="0.25">
      <c r="A111" s="7" t="s">
        <v>118</v>
      </c>
      <c r="B111" s="12" t="s">
        <v>118</v>
      </c>
      <c r="C111" s="12" t="s">
        <v>510</v>
      </c>
      <c r="D111" s="12" t="s">
        <v>511</v>
      </c>
      <c r="E111" s="12" t="s">
        <v>512</v>
      </c>
      <c r="F111" s="12" t="s">
        <v>513</v>
      </c>
      <c r="G111" s="12" t="s">
        <v>514</v>
      </c>
      <c r="H111" s="12" t="s">
        <v>515</v>
      </c>
      <c r="I111" s="12" t="s">
        <v>516</v>
      </c>
      <c r="J111" s="12" t="s">
        <v>517</v>
      </c>
      <c r="K111" s="12" t="s">
        <v>518</v>
      </c>
      <c r="L111" s="12" t="s">
        <v>519</v>
      </c>
      <c r="M111" s="12" t="s">
        <v>520</v>
      </c>
      <c r="N111" s="12" t="s">
        <v>521</v>
      </c>
      <c r="O111" s="12" t="s">
        <v>522</v>
      </c>
      <c r="P111" s="12" t="s">
        <v>523</v>
      </c>
      <c r="Q111" s="12" t="s">
        <v>524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</row>
    <row r="112" spans="1:28" ht="17.25" thickTop="1" thickBot="1" x14ac:dyDescent="0.25">
      <c r="A112" s="7" t="s">
        <v>119</v>
      </c>
      <c r="B112" s="12" t="s">
        <v>119</v>
      </c>
      <c r="C112" s="12" t="s">
        <v>525</v>
      </c>
      <c r="D112" s="12" t="s">
        <v>526</v>
      </c>
      <c r="E112" s="12" t="s">
        <v>527</v>
      </c>
      <c r="F112" s="12" t="s">
        <v>528</v>
      </c>
      <c r="G112" s="12" t="s">
        <v>528</v>
      </c>
      <c r="H112" s="12" t="s">
        <v>529</v>
      </c>
      <c r="I112" s="12" t="s">
        <v>530</v>
      </c>
      <c r="J112" s="12" t="s">
        <v>531</v>
      </c>
      <c r="K112" s="12" t="s">
        <v>532</v>
      </c>
      <c r="L112" s="12" t="s">
        <v>533</v>
      </c>
      <c r="M112" s="12" t="s">
        <v>533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7" ht="17.25" thickTop="1" thickBot="1" x14ac:dyDescent="0.25">
      <c r="A113" s="7" t="s">
        <v>120</v>
      </c>
      <c r="B113" s="12" t="s">
        <v>120</v>
      </c>
      <c r="C113" s="12" t="s">
        <v>534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7" ht="17.25" thickTop="1" thickBot="1" x14ac:dyDescent="0.25">
      <c r="A114" s="7" t="s">
        <v>121</v>
      </c>
      <c r="B114" s="12" t="s">
        <v>121</v>
      </c>
      <c r="C114" s="12" t="s">
        <v>535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7" ht="17.25" thickTop="1" thickBot="1" x14ac:dyDescent="0.25">
      <c r="A115" s="7" t="s">
        <v>122</v>
      </c>
      <c r="B115" s="12" t="s">
        <v>122</v>
      </c>
      <c r="C115" s="12" t="s">
        <v>536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7" ht="17.25" thickTop="1" thickBot="1" x14ac:dyDescent="0.25">
      <c r="A116" s="7" t="s">
        <v>123</v>
      </c>
      <c r="B116" s="12" t="s">
        <v>123</v>
      </c>
      <c r="C116" s="12" t="s">
        <v>537</v>
      </c>
      <c r="D116" s="12" t="s">
        <v>538</v>
      </c>
      <c r="E116" s="12" t="s">
        <v>539</v>
      </c>
      <c r="F116" s="12" t="s">
        <v>540</v>
      </c>
      <c r="G116" s="12" t="s">
        <v>541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7" ht="17.25" thickTop="1" thickBot="1" x14ac:dyDescent="0.25">
      <c r="A117" s="7" t="s">
        <v>124</v>
      </c>
      <c r="B117" s="12" t="s">
        <v>124</v>
      </c>
      <c r="C117" s="12" t="s">
        <v>542</v>
      </c>
      <c r="D117" s="12" t="s">
        <v>543</v>
      </c>
      <c r="E117" s="12" t="s">
        <v>544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7" ht="17.25" thickTop="1" thickBot="1" x14ac:dyDescent="0.25">
      <c r="A118" s="7" t="s">
        <v>125</v>
      </c>
      <c r="B118" s="12" t="s">
        <v>125</v>
      </c>
      <c r="C118" s="12" t="s">
        <v>545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7" ht="33" thickTop="1" thickBot="1" x14ac:dyDescent="0.25">
      <c r="A119" s="7" t="s">
        <v>126</v>
      </c>
      <c r="B119" s="12" t="s">
        <v>126</v>
      </c>
      <c r="C119" s="12" t="s">
        <v>546</v>
      </c>
      <c r="D119" s="12" t="s">
        <v>547</v>
      </c>
      <c r="E119" s="12" t="s">
        <v>548</v>
      </c>
      <c r="F119" s="12" t="s">
        <v>549</v>
      </c>
      <c r="G119" s="12" t="s">
        <v>550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</row>
    <row r="120" spans="1:27" ht="33" thickTop="1" thickBot="1" x14ac:dyDescent="0.25">
      <c r="A120" s="7" t="s">
        <v>127</v>
      </c>
      <c r="B120" s="12" t="s">
        <v>127</v>
      </c>
      <c r="C120" s="12" t="s">
        <v>551</v>
      </c>
      <c r="D120" s="12" t="s">
        <v>552</v>
      </c>
      <c r="E120" s="12" t="s">
        <v>553</v>
      </c>
      <c r="F120" s="12" t="s">
        <v>554</v>
      </c>
      <c r="G120" s="12" t="s">
        <v>555</v>
      </c>
      <c r="H120" s="12" t="s">
        <v>556</v>
      </c>
      <c r="I120" s="12" t="s">
        <v>557</v>
      </c>
      <c r="J120" s="12" t="s">
        <v>558</v>
      </c>
      <c r="K120" s="12" t="s">
        <v>559</v>
      </c>
      <c r="L120" s="12" t="s">
        <v>560</v>
      </c>
      <c r="M120" s="12" t="s">
        <v>561</v>
      </c>
      <c r="N120" s="12" t="s">
        <v>562</v>
      </c>
      <c r="O120" s="12" t="s">
        <v>563</v>
      </c>
      <c r="P120" s="12" t="s">
        <v>564</v>
      </c>
      <c r="Q120" s="12" t="s">
        <v>565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7" ht="17.25" thickTop="1" thickBot="1" x14ac:dyDescent="0.25">
      <c r="A121" s="7" t="s">
        <v>128</v>
      </c>
      <c r="B121" s="12" t="s">
        <v>128</v>
      </c>
      <c r="C121" s="12" t="s">
        <v>566</v>
      </c>
      <c r="D121" s="12" t="s">
        <v>160</v>
      </c>
      <c r="E121" s="12" t="s">
        <v>160</v>
      </c>
      <c r="F121" s="12" t="s">
        <v>160</v>
      </c>
      <c r="G121" s="12" t="s">
        <v>160</v>
      </c>
      <c r="H121" s="12" t="s">
        <v>160</v>
      </c>
      <c r="I121" s="12" t="s">
        <v>160</v>
      </c>
      <c r="J121" s="12" t="s">
        <v>160</v>
      </c>
      <c r="K121" s="12" t="s">
        <v>160</v>
      </c>
      <c r="L121" s="12" t="s">
        <v>160</v>
      </c>
      <c r="M121" s="12" t="s">
        <v>160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7" ht="17.25" thickTop="1" thickBot="1" x14ac:dyDescent="0.25">
      <c r="A122" s="7" t="s">
        <v>129</v>
      </c>
      <c r="B122" s="12" t="s">
        <v>129</v>
      </c>
      <c r="C122" s="12" t="s">
        <v>567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7" ht="17.25" thickTop="1" thickBot="1" x14ac:dyDescent="0.25">
      <c r="A123" s="7" t="s">
        <v>130</v>
      </c>
      <c r="B123" s="12" t="s">
        <v>130</v>
      </c>
      <c r="C123" s="12" t="s">
        <v>568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7" ht="17.25" thickTop="1" thickBot="1" x14ac:dyDescent="0.25">
      <c r="A124" s="7" t="s">
        <v>131</v>
      </c>
      <c r="B124" s="12" t="s">
        <v>131</v>
      </c>
      <c r="C124" s="12" t="s">
        <v>569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7" ht="17.25" thickTop="1" thickBot="1" x14ac:dyDescent="0.25">
      <c r="A125" s="7" t="s">
        <v>132</v>
      </c>
      <c r="B125" s="12" t="s">
        <v>132</v>
      </c>
      <c r="C125" s="12" t="s">
        <v>570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7" ht="17.25" thickTop="1" thickBot="1" x14ac:dyDescent="0.25">
      <c r="A126" s="7" t="s">
        <v>133</v>
      </c>
      <c r="B126" s="12" t="s">
        <v>133</v>
      </c>
      <c r="C126" s="12" t="s">
        <v>571</v>
      </c>
      <c r="D126" s="12" t="s">
        <v>572</v>
      </c>
      <c r="E126" s="12" t="s">
        <v>573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7" ht="17.25" thickTop="1" thickBot="1" x14ac:dyDescent="0.25">
      <c r="A127" s="7" t="s">
        <v>134</v>
      </c>
      <c r="B127" s="12" t="s">
        <v>134</v>
      </c>
      <c r="C127" s="12" t="s">
        <v>576</v>
      </c>
      <c r="D127" s="12" t="s">
        <v>577</v>
      </c>
      <c r="E127" s="12" t="s">
        <v>578</v>
      </c>
      <c r="F127" s="12" t="s">
        <v>579</v>
      </c>
      <c r="G127" s="12" t="s">
        <v>580</v>
      </c>
      <c r="H127" s="12" t="s">
        <v>581</v>
      </c>
      <c r="I127" s="12" t="s">
        <v>582</v>
      </c>
      <c r="J127" s="12" t="s">
        <v>583</v>
      </c>
      <c r="K127" s="12" t="s">
        <v>584</v>
      </c>
      <c r="L127" s="12" t="s">
        <v>585</v>
      </c>
      <c r="M127" s="12" t="s">
        <v>586</v>
      </c>
      <c r="N127" s="12" t="s">
        <v>587</v>
      </c>
      <c r="O127" s="12" t="s">
        <v>588</v>
      </c>
      <c r="P127" s="12" t="s">
        <v>589</v>
      </c>
      <c r="Q127" s="12" t="s">
        <v>590</v>
      </c>
      <c r="R127" s="12" t="s">
        <v>591</v>
      </c>
      <c r="S127" s="12" t="s">
        <v>592</v>
      </c>
      <c r="T127" s="12" t="s">
        <v>593</v>
      </c>
      <c r="U127" s="12" t="s">
        <v>594</v>
      </c>
      <c r="V127" s="12" t="s">
        <v>595</v>
      </c>
      <c r="W127" s="12" t="s">
        <v>596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7" ht="17.25" thickTop="1" thickBot="1" x14ac:dyDescent="0.25">
      <c r="A128" s="7" t="s">
        <v>135</v>
      </c>
      <c r="B128" s="12" t="s">
        <v>597</v>
      </c>
      <c r="C128" s="12" t="s">
        <v>135</v>
      </c>
      <c r="D128" s="12" t="s">
        <v>598</v>
      </c>
      <c r="E128" s="12" t="s">
        <v>599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17.25" thickTop="1" thickBot="1" x14ac:dyDescent="0.25">
      <c r="A129" s="7" t="s">
        <v>136</v>
      </c>
      <c r="B129" s="12" t="s">
        <v>136</v>
      </c>
      <c r="C129" s="12" t="s">
        <v>600</v>
      </c>
      <c r="D129" s="12" t="s">
        <v>601</v>
      </c>
      <c r="E129" s="12" t="s">
        <v>602</v>
      </c>
      <c r="F129" s="12" t="s">
        <v>160</v>
      </c>
      <c r="G129" s="12" t="s">
        <v>160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17.25" thickTop="1" thickBot="1" x14ac:dyDescent="0.25">
      <c r="A130" s="7" t="s">
        <v>137</v>
      </c>
      <c r="B130" s="12" t="s">
        <v>137</v>
      </c>
      <c r="C130" s="12" t="s">
        <v>603</v>
      </c>
      <c r="D130" s="12" t="s">
        <v>604</v>
      </c>
      <c r="E130" s="12" t="s">
        <v>605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138</v>
      </c>
      <c r="B131" s="12" t="s">
        <v>138</v>
      </c>
      <c r="C131" s="12" t="s">
        <v>606</v>
      </c>
      <c r="D131" s="12" t="s">
        <v>607</v>
      </c>
      <c r="E131" s="12" t="s">
        <v>608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139</v>
      </c>
      <c r="B132" s="12" t="s">
        <v>139</v>
      </c>
      <c r="C132" s="12" t="s">
        <v>609</v>
      </c>
      <c r="D132" s="12" t="s">
        <v>610</v>
      </c>
      <c r="E132" s="12" t="s">
        <v>611</v>
      </c>
      <c r="F132" s="12" t="s">
        <v>612</v>
      </c>
      <c r="G132" s="12" t="s">
        <v>613</v>
      </c>
      <c r="H132" s="12" t="s">
        <v>614</v>
      </c>
      <c r="I132" s="12" t="s">
        <v>615</v>
      </c>
      <c r="J132" s="12" t="s">
        <v>616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140</v>
      </c>
      <c r="B133" s="12" t="s">
        <v>140</v>
      </c>
      <c r="C133" s="12" t="s">
        <v>617</v>
      </c>
      <c r="D133" s="12" t="s">
        <v>618</v>
      </c>
      <c r="E133" s="12" t="s">
        <v>619</v>
      </c>
      <c r="F133" s="12" t="s">
        <v>620</v>
      </c>
      <c r="G133" s="12" t="s">
        <v>621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141</v>
      </c>
      <c r="B134" s="12" t="s">
        <v>141</v>
      </c>
      <c r="C134" s="12" t="s">
        <v>622</v>
      </c>
      <c r="D134" s="12" t="s">
        <v>727</v>
      </c>
      <c r="E134" s="12" t="s">
        <v>728</v>
      </c>
      <c r="F134" s="12" t="s">
        <v>729</v>
      </c>
      <c r="G134" s="12" t="s">
        <v>730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142</v>
      </c>
      <c r="B135" s="12" t="s">
        <v>142</v>
      </c>
      <c r="C135" s="12" t="s">
        <v>623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143</v>
      </c>
      <c r="B136" s="12" t="s">
        <v>143</v>
      </c>
      <c r="C136" s="12" t="s">
        <v>624</v>
      </c>
      <c r="D136" s="12" t="s">
        <v>625</v>
      </c>
      <c r="E136" s="12" t="s">
        <v>626</v>
      </c>
      <c r="F136" s="12" t="s">
        <v>627</v>
      </c>
      <c r="G136" s="12" t="s">
        <v>628</v>
      </c>
      <c r="H136" s="12" t="s">
        <v>629</v>
      </c>
      <c r="I136" s="12" t="s">
        <v>630</v>
      </c>
      <c r="J136" s="12" t="s">
        <v>631</v>
      </c>
      <c r="K136" s="12" t="s">
        <v>632</v>
      </c>
      <c r="L136" s="12" t="s">
        <v>633</v>
      </c>
      <c r="M136" s="12" t="s">
        <v>634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144</v>
      </c>
      <c r="B137" s="12" t="s">
        <v>144</v>
      </c>
      <c r="C137" s="12" t="s">
        <v>635</v>
      </c>
      <c r="D137" s="12" t="s">
        <v>636</v>
      </c>
      <c r="E137" s="12" t="s">
        <v>637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145</v>
      </c>
      <c r="B138" s="12" t="s">
        <v>145</v>
      </c>
      <c r="C138" s="12" t="s">
        <v>638</v>
      </c>
      <c r="D138" s="12" t="s">
        <v>639</v>
      </c>
      <c r="E138" s="12" t="s">
        <v>640</v>
      </c>
      <c r="F138" s="12" t="s">
        <v>641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146</v>
      </c>
      <c r="B139" s="12" t="s">
        <v>146</v>
      </c>
      <c r="C139" s="12" t="s">
        <v>642</v>
      </c>
      <c r="D139" s="12" t="s">
        <v>160</v>
      </c>
      <c r="E139" s="12" t="s">
        <v>160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147</v>
      </c>
      <c r="B140" s="12" t="s">
        <v>147</v>
      </c>
      <c r="C140" s="12" t="s">
        <v>643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148</v>
      </c>
      <c r="B141" s="12" t="s">
        <v>148</v>
      </c>
      <c r="C141" s="12" t="s">
        <v>644</v>
      </c>
      <c r="D141" s="12" t="s">
        <v>160</v>
      </c>
      <c r="E141" s="12" t="s">
        <v>160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149</v>
      </c>
      <c r="B142" s="12" t="s">
        <v>149</v>
      </c>
      <c r="C142" s="12" t="s">
        <v>645</v>
      </c>
      <c r="D142" s="12" t="s">
        <v>646</v>
      </c>
      <c r="E142" s="12" t="s">
        <v>647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150</v>
      </c>
      <c r="B143" s="12" t="s">
        <v>150</v>
      </c>
      <c r="C143" s="12" t="s">
        <v>648</v>
      </c>
      <c r="D143" s="12" t="s">
        <v>649</v>
      </c>
      <c r="E143" s="12" t="s">
        <v>650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151</v>
      </c>
      <c r="B144" s="12" t="s">
        <v>151</v>
      </c>
      <c r="C144" s="12" t="s">
        <v>651</v>
      </c>
      <c r="D144" s="12" t="s">
        <v>160</v>
      </c>
      <c r="E144" s="12" t="s">
        <v>160</v>
      </c>
      <c r="F144" s="12" t="s">
        <v>160</v>
      </c>
      <c r="G144" s="12" t="s">
        <v>160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33" thickTop="1" thickBot="1" x14ac:dyDescent="0.25">
      <c r="A145" s="7" t="s">
        <v>703</v>
      </c>
      <c r="B145" s="12" t="s">
        <v>703</v>
      </c>
      <c r="C145" s="12" t="s">
        <v>704</v>
      </c>
      <c r="D145" s="12" t="s">
        <v>160</v>
      </c>
      <c r="E145" s="12" t="s">
        <v>160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33" thickTop="1" thickBot="1" x14ac:dyDescent="0.25">
      <c r="A146" s="7" t="s">
        <v>705</v>
      </c>
      <c r="B146" s="12" t="s">
        <v>705</v>
      </c>
      <c r="C146" s="12" t="s">
        <v>706</v>
      </c>
      <c r="D146" s="12" t="s">
        <v>160</v>
      </c>
      <c r="E146" s="12" t="s">
        <v>160</v>
      </c>
      <c r="F146" s="12" t="s">
        <v>160</v>
      </c>
      <c r="G146" s="12" t="s">
        <v>160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33" thickTop="1" thickBot="1" x14ac:dyDescent="0.25">
      <c r="A147" s="7" t="s">
        <v>707</v>
      </c>
      <c r="B147" s="12" t="s">
        <v>707</v>
      </c>
      <c r="C147" s="12" t="s">
        <v>708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33" thickTop="1" thickBot="1" x14ac:dyDescent="0.25">
      <c r="A148" s="7" t="s">
        <v>709</v>
      </c>
      <c r="B148" s="12" t="s">
        <v>709</v>
      </c>
      <c r="C148" s="12" t="s">
        <v>710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33" thickTop="1" thickBot="1" x14ac:dyDescent="0.25">
      <c r="A149" s="7" t="s">
        <v>711</v>
      </c>
      <c r="B149" s="12" t="s">
        <v>711</v>
      </c>
      <c r="C149" s="12" t="s">
        <v>712</v>
      </c>
      <c r="D149" s="12" t="s">
        <v>160</v>
      </c>
      <c r="E149" s="12" t="s">
        <v>160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33" thickTop="1" thickBot="1" x14ac:dyDescent="0.25">
      <c r="A150" s="7" t="s">
        <v>713</v>
      </c>
      <c r="B150" s="12" t="s">
        <v>713</v>
      </c>
      <c r="C150" s="12" t="s">
        <v>714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33" thickTop="1" thickBot="1" x14ac:dyDescent="0.25">
      <c r="A151" s="7" t="s">
        <v>715</v>
      </c>
      <c r="B151" s="12" t="s">
        <v>715</v>
      </c>
      <c r="C151" s="12" t="s">
        <v>716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33" thickTop="1" thickBot="1" x14ac:dyDescent="0.25">
      <c r="A152" s="7" t="s">
        <v>717</v>
      </c>
      <c r="B152" s="12" t="s">
        <v>717</v>
      </c>
      <c r="C152" s="12" t="s">
        <v>718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33" thickTop="1" thickBot="1" x14ac:dyDescent="0.25">
      <c r="A153" s="7" t="s">
        <v>719</v>
      </c>
      <c r="B153" s="12" t="s">
        <v>719</v>
      </c>
      <c r="C153" s="12" t="s">
        <v>720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33" thickTop="1" thickBot="1" x14ac:dyDescent="0.25">
      <c r="A154" s="7" t="s">
        <v>721</v>
      </c>
      <c r="B154" s="12" t="s">
        <v>721</v>
      </c>
      <c r="C154" s="12" t="s">
        <v>722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3.5" thickTop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B7"/>
  <sheetViews>
    <sheetView workbookViewId="0">
      <selection activeCell="E22" sqref="E22"/>
    </sheetView>
  </sheetViews>
  <sheetFormatPr baseColWidth="10" defaultRowHeight="12.75" x14ac:dyDescent="0.2"/>
  <cols>
    <col min="1" max="1" width="14.7109375" style="34" customWidth="1"/>
    <col min="2" max="16384" width="11.42578125" style="34"/>
  </cols>
  <sheetData>
    <row r="1" spans="1:2" x14ac:dyDescent="0.2">
      <c r="A1" s="12" t="s">
        <v>6</v>
      </c>
      <c r="B1" s="34">
        <v>1</v>
      </c>
    </row>
    <row r="2" spans="1:2" x14ac:dyDescent="0.2">
      <c r="A2" s="12" t="s">
        <v>696</v>
      </c>
      <c r="B2" s="12">
        <v>0.5</v>
      </c>
    </row>
    <row r="3" spans="1:2" x14ac:dyDescent="0.2">
      <c r="A3" s="12" t="s">
        <v>697</v>
      </c>
      <c r="B3" s="34">
        <v>0.5</v>
      </c>
    </row>
    <row r="4" spans="1:2" x14ac:dyDescent="0.2">
      <c r="A4" s="12" t="s">
        <v>698</v>
      </c>
      <c r="B4" s="34">
        <v>1.5</v>
      </c>
    </row>
    <row r="5" spans="1:2" x14ac:dyDescent="0.2">
      <c r="A5" s="12" t="s">
        <v>699</v>
      </c>
      <c r="B5" s="34">
        <v>1</v>
      </c>
    </row>
    <row r="6" spans="1:2" x14ac:dyDescent="0.2">
      <c r="A6" s="12" t="s">
        <v>156</v>
      </c>
      <c r="B6" s="34">
        <v>2.5</v>
      </c>
    </row>
    <row r="7" spans="1:2" x14ac:dyDescent="0.2">
      <c r="A7" s="12" t="s">
        <v>700</v>
      </c>
      <c r="B7" s="34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0"/>
  <sheetViews>
    <sheetView topLeftCell="A112"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20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s="17" customFormat="1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7.25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5.75" customHeight="1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2.75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0"/>
      <c r="G1" s="30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</row>
    <row r="2" spans="1:41" ht="15.75" customHeight="1" thickTop="1" thickBot="1" x14ac:dyDescent="0.25">
      <c r="A2" s="3"/>
      <c r="B2" s="3"/>
      <c r="C2" s="4" t="s">
        <v>9</v>
      </c>
      <c r="D2" s="5"/>
      <c r="E2" s="6"/>
      <c r="F2" s="30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0">
        <f>IF(I2=1,Pondération!B$3*(B2-D2),IF(I2=2,Pondération!B$4*(B2-D2),IF(I2=3,Pondération!B$5*(B2-D2),IF(I2=4,Pondération!B$6*(B2-D2),IF(I2=5,Pondération!B$7*(B2-D2),0)))))</f>
        <v>0</v>
      </c>
      <c r="K2" s="30">
        <f>IF(H2=5,Pondération!B$7*(A2-E2),0)</f>
        <v>0</v>
      </c>
      <c r="L2" s="30">
        <f>IF(I2=5,Pondération!B$7*(B2-D2),IF(I2=4,Pondération!B$6*(B2-D2),0))</f>
        <v>0</v>
      </c>
      <c r="M2" s="30">
        <f>IF(H2=1,Pondération!B$3*(A2-E2),IF(H2=2,Pondération!B$4*(A2-E2),IF(H2=3,Pondération!B$5*(A2-E2),IF(H2=4,Pondération!B$6*(A2-E2),IF(H2=5,Pondération!B$7*(A2-E2),0)))))</f>
        <v>0</v>
      </c>
      <c r="N2" s="30">
        <f t="shared" ref="N2:N65" si="0">D2+E2-B2-A2</f>
        <v>0</v>
      </c>
      <c r="O2" s="30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</row>
    <row r="3" spans="1:41" ht="15.75" customHeight="1" thickTop="1" thickBot="1" x14ac:dyDescent="0.25">
      <c r="A3" s="3"/>
      <c r="B3" s="3"/>
      <c r="C3" s="7" t="s">
        <v>10</v>
      </c>
      <c r="D3" s="5"/>
      <c r="E3" s="6"/>
      <c r="F3" s="30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0">
        <f t="shared" si="0"/>
        <v>0</v>
      </c>
      <c r="O3" s="30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11</v>
      </c>
      <c r="D4" s="5"/>
      <c r="E4" s="6"/>
      <c r="F4" s="30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0">
        <f t="shared" si="0"/>
        <v>0</v>
      </c>
      <c r="O4" s="30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12</v>
      </c>
      <c r="D5" s="5"/>
      <c r="E5" s="6"/>
      <c r="F5" s="30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0">
        <f t="shared" si="0"/>
        <v>0</v>
      </c>
      <c r="O5" s="30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13</v>
      </c>
      <c r="D6" s="5"/>
      <c r="E6" s="6"/>
      <c r="F6" s="30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0">
        <f t="shared" si="0"/>
        <v>0</v>
      </c>
      <c r="O6" s="30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14</v>
      </c>
      <c r="D7" s="5"/>
      <c r="E7" s="6"/>
      <c r="F7" s="30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0">
        <f t="shared" si="0"/>
        <v>0</v>
      </c>
      <c r="O7" s="30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15</v>
      </c>
      <c r="D8" s="5"/>
      <c r="E8" s="6"/>
      <c r="F8" s="30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0">
        <f t="shared" si="0"/>
        <v>0</v>
      </c>
      <c r="O8" s="30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16</v>
      </c>
      <c r="D9" s="5"/>
      <c r="E9" s="6"/>
      <c r="F9" s="30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0">
        <f t="shared" si="0"/>
        <v>0</v>
      </c>
      <c r="O9" s="30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17</v>
      </c>
      <c r="D10" s="5"/>
      <c r="E10" s="6"/>
      <c r="F10" s="30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0">
        <f t="shared" si="0"/>
        <v>0</v>
      </c>
      <c r="O10" s="30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18</v>
      </c>
      <c r="D11" s="5"/>
      <c r="E11" s="6"/>
      <c r="F11" s="30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0">
        <f t="shared" si="0"/>
        <v>0</v>
      </c>
      <c r="O11" s="30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19</v>
      </c>
      <c r="D12" s="5"/>
      <c r="E12" s="6"/>
      <c r="F12" s="30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0">
        <f t="shared" si="0"/>
        <v>0</v>
      </c>
      <c r="O12" s="30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20</v>
      </c>
      <c r="D13" s="5"/>
      <c r="E13" s="6"/>
      <c r="F13" s="30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0">
        <f t="shared" si="0"/>
        <v>0</v>
      </c>
      <c r="O13" s="30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21</v>
      </c>
      <c r="D14" s="5"/>
      <c r="E14" s="6"/>
      <c r="F14" s="30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0">
        <f t="shared" si="0"/>
        <v>0</v>
      </c>
      <c r="O14" s="30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22</v>
      </c>
      <c r="D15" s="5"/>
      <c r="E15" s="6"/>
      <c r="F15" s="30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0">
        <f t="shared" si="0"/>
        <v>0</v>
      </c>
      <c r="O15" s="30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23</v>
      </c>
      <c r="D16" s="5"/>
      <c r="E16" s="6"/>
      <c r="F16" s="30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0">
        <f t="shared" si="0"/>
        <v>0</v>
      </c>
      <c r="O16" s="30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24</v>
      </c>
      <c r="D17" s="5"/>
      <c r="E17" s="6"/>
      <c r="F17" s="30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0">
        <f t="shared" si="0"/>
        <v>0</v>
      </c>
      <c r="O17" s="30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25</v>
      </c>
      <c r="D18" s="5"/>
      <c r="E18" s="6"/>
      <c r="F18" s="30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0">
        <f t="shared" si="0"/>
        <v>0</v>
      </c>
      <c r="O18" s="30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3">
      <c r="A19" s="3"/>
      <c r="B19" s="3"/>
      <c r="C19" s="7" t="s">
        <v>26</v>
      </c>
      <c r="D19" s="5"/>
      <c r="E19" s="6"/>
      <c r="F19" s="30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0">
        <f t="shared" si="0"/>
        <v>0</v>
      </c>
      <c r="O19" s="30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27</v>
      </c>
      <c r="D20" s="5"/>
      <c r="E20" s="6"/>
      <c r="F20" s="30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0">
        <f t="shared" si="0"/>
        <v>0</v>
      </c>
      <c r="O20" s="30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31</v>
      </c>
      <c r="D21" s="5"/>
      <c r="E21" s="6"/>
      <c r="F21" s="30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0">
        <f t="shared" si="0"/>
        <v>0</v>
      </c>
      <c r="O21" s="30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32</v>
      </c>
      <c r="D22" s="5"/>
      <c r="E22" s="6"/>
      <c r="F22" s="30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0">
        <f t="shared" si="0"/>
        <v>0</v>
      </c>
      <c r="O22" s="30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3">
      <c r="A23" s="3"/>
      <c r="B23" s="3"/>
      <c r="C23" s="7" t="s">
        <v>33</v>
      </c>
      <c r="D23" s="5"/>
      <c r="E23" s="6"/>
      <c r="F23" s="30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0">
        <f t="shared" si="0"/>
        <v>0</v>
      </c>
      <c r="O23" s="30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34</v>
      </c>
      <c r="D24" s="5"/>
      <c r="E24" s="6"/>
      <c r="F24" s="30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0">
        <f t="shared" si="0"/>
        <v>0</v>
      </c>
      <c r="O24" s="30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35</v>
      </c>
      <c r="D25" s="5"/>
      <c r="E25" s="6"/>
      <c r="F25" s="30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0">
        <f t="shared" si="0"/>
        <v>0</v>
      </c>
      <c r="O25" s="30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36</v>
      </c>
      <c r="D26" s="5"/>
      <c r="E26" s="6"/>
      <c r="F26" s="30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0">
        <f t="shared" si="0"/>
        <v>0</v>
      </c>
      <c r="O26" s="30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3">
      <c r="A27" s="3"/>
      <c r="B27" s="3"/>
      <c r="C27" s="7" t="s">
        <v>37</v>
      </c>
      <c r="D27" s="5"/>
      <c r="E27" s="6"/>
      <c r="F27" s="30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0">
        <f t="shared" si="0"/>
        <v>0</v>
      </c>
      <c r="O27" s="30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38</v>
      </c>
      <c r="D28" s="5"/>
      <c r="E28" s="6"/>
      <c r="F28" s="30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0">
        <f t="shared" si="0"/>
        <v>0</v>
      </c>
      <c r="O28" s="30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3">
      <c r="A29" s="3"/>
      <c r="B29" s="3"/>
      <c r="C29" s="7" t="s">
        <v>39</v>
      </c>
      <c r="D29" s="5"/>
      <c r="E29" s="6"/>
      <c r="F29" s="30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0">
        <f t="shared" si="0"/>
        <v>0</v>
      </c>
      <c r="O29" s="30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40</v>
      </c>
      <c r="D30" s="5"/>
      <c r="E30" s="6"/>
      <c r="F30" s="30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0">
        <f t="shared" si="0"/>
        <v>0</v>
      </c>
      <c r="O30" s="30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41</v>
      </c>
      <c r="D31" s="5"/>
      <c r="E31" s="6"/>
      <c r="F31" s="30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0">
        <f t="shared" si="0"/>
        <v>0</v>
      </c>
      <c r="O31" s="30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42</v>
      </c>
      <c r="D32" s="5"/>
      <c r="E32" s="6"/>
      <c r="F32" s="30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0">
        <f t="shared" si="0"/>
        <v>0</v>
      </c>
      <c r="O32" s="30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3">
      <c r="A33" s="3"/>
      <c r="B33" s="3"/>
      <c r="C33" s="7" t="s">
        <v>43</v>
      </c>
      <c r="D33" s="5"/>
      <c r="E33" s="6"/>
      <c r="F33" s="30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0">
        <f t="shared" si="0"/>
        <v>0</v>
      </c>
      <c r="O33" s="30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44</v>
      </c>
      <c r="D34" s="5"/>
      <c r="E34" s="6"/>
      <c r="F34" s="30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0">
        <f t="shared" si="0"/>
        <v>0</v>
      </c>
      <c r="O34" s="30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45</v>
      </c>
      <c r="D35" s="5"/>
      <c r="E35" s="6"/>
      <c r="F35" s="30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0">
        <f t="shared" si="0"/>
        <v>0</v>
      </c>
      <c r="O35" s="30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46</v>
      </c>
      <c r="D36" s="5"/>
      <c r="E36" s="6"/>
      <c r="F36" s="30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0">
        <f t="shared" si="0"/>
        <v>0</v>
      </c>
      <c r="O36" s="30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47</v>
      </c>
      <c r="D37" s="5"/>
      <c r="E37" s="6"/>
      <c r="F37" s="30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0">
        <f t="shared" si="0"/>
        <v>0</v>
      </c>
      <c r="O37" s="30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48</v>
      </c>
      <c r="D38" s="5"/>
      <c r="E38" s="6"/>
      <c r="F38" s="30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0">
        <f t="shared" si="0"/>
        <v>0</v>
      </c>
      <c r="O38" s="30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3">
      <c r="A39" s="3"/>
      <c r="B39" s="3"/>
      <c r="C39" s="7" t="s">
        <v>49</v>
      </c>
      <c r="D39" s="5"/>
      <c r="E39" s="6"/>
      <c r="F39" s="30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0">
        <f t="shared" si="0"/>
        <v>0</v>
      </c>
      <c r="O39" s="30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50</v>
      </c>
      <c r="D40" s="5"/>
      <c r="E40" s="6"/>
      <c r="F40" s="30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0">
        <f t="shared" si="0"/>
        <v>0</v>
      </c>
      <c r="O40" s="30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7.25" thickTop="1" thickBot="1" x14ac:dyDescent="0.25">
      <c r="A41" s="3"/>
      <c r="B41" s="3"/>
      <c r="C41" s="7" t="s">
        <v>51</v>
      </c>
      <c r="D41" s="5"/>
      <c r="E41" s="6"/>
      <c r="F41" s="30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0">
        <f t="shared" si="0"/>
        <v>0</v>
      </c>
      <c r="O41" s="30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52</v>
      </c>
      <c r="D42" s="5"/>
      <c r="E42" s="6"/>
      <c r="F42" s="30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0">
        <f t="shared" si="0"/>
        <v>0</v>
      </c>
      <c r="O42" s="30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53</v>
      </c>
      <c r="D43" s="5"/>
      <c r="E43" s="6"/>
      <c r="F43" s="30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0">
        <f t="shared" si="0"/>
        <v>0</v>
      </c>
      <c r="O43" s="30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54</v>
      </c>
      <c r="D44" s="5"/>
      <c r="E44" s="6"/>
      <c r="F44" s="30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0">
        <f t="shared" si="0"/>
        <v>0</v>
      </c>
      <c r="O44" s="30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55</v>
      </c>
      <c r="D45" s="5"/>
      <c r="E45" s="6"/>
      <c r="F45" s="30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0">
        <f t="shared" si="0"/>
        <v>0</v>
      </c>
      <c r="O45" s="30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56</v>
      </c>
      <c r="D46" s="5"/>
      <c r="E46" s="6"/>
      <c r="F46" s="30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0">
        <f t="shared" si="0"/>
        <v>0</v>
      </c>
      <c r="O46" s="30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57</v>
      </c>
      <c r="D47" s="5"/>
      <c r="E47" s="6"/>
      <c r="F47" s="30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0">
        <f t="shared" si="0"/>
        <v>0</v>
      </c>
      <c r="O47" s="30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58</v>
      </c>
      <c r="D48" s="5"/>
      <c r="E48" s="6"/>
      <c r="F48" s="30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0">
        <f t="shared" si="0"/>
        <v>0</v>
      </c>
      <c r="O48" s="30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59</v>
      </c>
      <c r="D49" s="5"/>
      <c r="E49" s="6"/>
      <c r="F49" s="30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0">
        <f t="shared" si="0"/>
        <v>0</v>
      </c>
      <c r="O49" s="30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60</v>
      </c>
      <c r="D50" s="5"/>
      <c r="E50" s="6"/>
      <c r="F50" s="30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0">
        <f t="shared" si="0"/>
        <v>0</v>
      </c>
      <c r="O50" s="30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61</v>
      </c>
      <c r="D51" s="5"/>
      <c r="E51" s="6"/>
      <c r="F51" s="30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0">
        <f t="shared" si="0"/>
        <v>0</v>
      </c>
      <c r="O51" s="30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62</v>
      </c>
      <c r="D52" s="5"/>
      <c r="E52" s="6"/>
      <c r="F52" s="30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0">
        <f t="shared" si="0"/>
        <v>0</v>
      </c>
      <c r="O52" s="30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63</v>
      </c>
      <c r="D53" s="5"/>
      <c r="E53" s="6"/>
      <c r="F53" s="30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0">
        <f t="shared" si="0"/>
        <v>0</v>
      </c>
      <c r="O53" s="30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64</v>
      </c>
      <c r="D54" s="5"/>
      <c r="E54" s="6"/>
      <c r="F54" s="30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0">
        <f t="shared" si="0"/>
        <v>0</v>
      </c>
      <c r="O54" s="30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65</v>
      </c>
      <c r="D55" s="5"/>
      <c r="E55" s="6"/>
      <c r="F55" s="30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0">
        <f t="shared" si="0"/>
        <v>0</v>
      </c>
      <c r="O55" s="30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66</v>
      </c>
      <c r="D56" s="5"/>
      <c r="E56" s="6"/>
      <c r="F56" s="30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0">
        <f t="shared" si="0"/>
        <v>0</v>
      </c>
      <c r="O56" s="30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67</v>
      </c>
      <c r="D57" s="5"/>
      <c r="E57" s="6"/>
      <c r="F57" s="30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0">
        <f t="shared" si="0"/>
        <v>0</v>
      </c>
      <c r="O57" s="30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3">
      <c r="A58" s="3"/>
      <c r="B58" s="3"/>
      <c r="C58" s="7" t="s">
        <v>68</v>
      </c>
      <c r="D58" s="5"/>
      <c r="E58" s="6"/>
      <c r="F58" s="30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0">
        <f t="shared" si="0"/>
        <v>0</v>
      </c>
      <c r="O58" s="30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69</v>
      </c>
      <c r="D59" s="5"/>
      <c r="E59" s="6"/>
      <c r="F59" s="30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0">
        <f t="shared" si="0"/>
        <v>0</v>
      </c>
      <c r="O59" s="30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70</v>
      </c>
      <c r="D60" s="5"/>
      <c r="E60" s="6"/>
      <c r="F60" s="30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0">
        <f t="shared" si="0"/>
        <v>0</v>
      </c>
      <c r="O60" s="30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71</v>
      </c>
      <c r="D61" s="5"/>
      <c r="E61" s="6"/>
      <c r="F61" s="30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0">
        <f t="shared" si="0"/>
        <v>0</v>
      </c>
      <c r="O61" s="30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72</v>
      </c>
      <c r="D62" s="5"/>
      <c r="E62" s="6"/>
      <c r="F62" s="30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0">
        <f t="shared" si="0"/>
        <v>0</v>
      </c>
      <c r="O62" s="30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73</v>
      </c>
      <c r="D63" s="5"/>
      <c r="E63" s="6"/>
      <c r="F63" s="30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0">
        <f t="shared" si="0"/>
        <v>0</v>
      </c>
      <c r="O63" s="30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74</v>
      </c>
      <c r="D64" s="5"/>
      <c r="E64" s="6"/>
      <c r="F64" s="30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0">
        <f t="shared" si="0"/>
        <v>0</v>
      </c>
      <c r="O64" s="30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75</v>
      </c>
      <c r="D65" s="5"/>
      <c r="E65" s="6"/>
      <c r="F65" s="30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0">
        <f t="shared" si="0"/>
        <v>0</v>
      </c>
      <c r="O65" s="30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76</v>
      </c>
      <c r="D66" s="5"/>
      <c r="E66" s="6"/>
      <c r="F66" s="30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0">
        <f t="shared" ref="N66:N131" si="1">D66+E66-B66-A66</f>
        <v>0</v>
      </c>
      <c r="O66" s="30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77</v>
      </c>
      <c r="D67" s="5"/>
      <c r="E67" s="6"/>
      <c r="F67" s="30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0">
        <f t="shared" si="1"/>
        <v>0</v>
      </c>
      <c r="O67" s="30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78</v>
      </c>
      <c r="D68" s="5"/>
      <c r="E68" s="6"/>
      <c r="F68" s="30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0">
        <f t="shared" si="1"/>
        <v>0</v>
      </c>
      <c r="O68" s="30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79</v>
      </c>
      <c r="D69" s="5"/>
      <c r="E69" s="6"/>
      <c r="F69" s="30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0">
        <f t="shared" si="1"/>
        <v>0</v>
      </c>
      <c r="O69" s="30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80</v>
      </c>
      <c r="D70" s="5"/>
      <c r="E70" s="6"/>
      <c r="F70" s="30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0">
        <f t="shared" si="1"/>
        <v>0</v>
      </c>
      <c r="O70" s="30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81</v>
      </c>
      <c r="D71" s="5"/>
      <c r="E71" s="6"/>
      <c r="F71" s="30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0">
        <f t="shared" si="1"/>
        <v>0</v>
      </c>
      <c r="O71" s="30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82</v>
      </c>
      <c r="D72" s="5"/>
      <c r="E72" s="6"/>
      <c r="F72" s="30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0">
        <f t="shared" si="1"/>
        <v>0</v>
      </c>
      <c r="O72" s="30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customHeight="1" thickTop="1" thickBot="1" x14ac:dyDescent="0.25">
      <c r="A73" s="3"/>
      <c r="B73" s="3"/>
      <c r="C73" s="7" t="s">
        <v>83</v>
      </c>
      <c r="D73" s="5"/>
      <c r="E73" s="6"/>
      <c r="F73" s="30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0">
        <f t="shared" si="1"/>
        <v>0</v>
      </c>
      <c r="O73" s="30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7.25" thickTop="1" thickBot="1" x14ac:dyDescent="0.25">
      <c r="A74" s="3"/>
      <c r="B74" s="3"/>
      <c r="C74" s="7" t="s">
        <v>84</v>
      </c>
      <c r="D74" s="5"/>
      <c r="E74" s="6"/>
      <c r="F74" s="30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0">
        <f t="shared" si="1"/>
        <v>0</v>
      </c>
      <c r="O74" s="30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85</v>
      </c>
      <c r="D75" s="5"/>
      <c r="E75" s="6"/>
      <c r="F75" s="30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0">
        <f t="shared" si="1"/>
        <v>0</v>
      </c>
      <c r="O75" s="30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86</v>
      </c>
      <c r="D76" s="5"/>
      <c r="E76" s="6"/>
      <c r="F76" s="30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0">
        <f t="shared" si="1"/>
        <v>0</v>
      </c>
      <c r="O76" s="30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87</v>
      </c>
      <c r="D77" s="5"/>
      <c r="E77" s="6"/>
      <c r="F77" s="30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0">
        <f t="shared" si="1"/>
        <v>0</v>
      </c>
      <c r="O77" s="30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88</v>
      </c>
      <c r="D78" s="5"/>
      <c r="E78" s="6"/>
      <c r="F78" s="30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0">
        <f t="shared" si="1"/>
        <v>0</v>
      </c>
      <c r="O78" s="30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>D79+E79-B79-A79</f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89</v>
      </c>
      <c r="D80" s="5"/>
      <c r="E80" s="6"/>
      <c r="F80" s="30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0">
        <f t="shared" si="1"/>
        <v>0</v>
      </c>
      <c r="O80" s="30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90</v>
      </c>
      <c r="D81" s="5"/>
      <c r="E81" s="6"/>
      <c r="F81" s="30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0">
        <f t="shared" si="1"/>
        <v>0</v>
      </c>
      <c r="O81" s="30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3">
      <c r="A82" s="3"/>
      <c r="B82" s="3"/>
      <c r="C82" s="7" t="s">
        <v>672</v>
      </c>
      <c r="D82" s="5"/>
      <c r="E82" s="6"/>
      <c r="F82" s="30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0">
        <f t="shared" si="1"/>
        <v>0</v>
      </c>
      <c r="O82" s="30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92</v>
      </c>
      <c r="D83" s="5"/>
      <c r="E83" s="6"/>
      <c r="F83" s="30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0">
        <f t="shared" si="1"/>
        <v>0</v>
      </c>
      <c r="O83" s="30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93</v>
      </c>
      <c r="D84" s="5"/>
      <c r="E84" s="6"/>
      <c r="F84" s="30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0">
        <f t="shared" si="1"/>
        <v>0</v>
      </c>
      <c r="O84" s="30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94</v>
      </c>
      <c r="D85" s="5"/>
      <c r="E85" s="6"/>
      <c r="F85" s="30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0">
        <f t="shared" si="1"/>
        <v>0</v>
      </c>
      <c r="O85" s="30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95</v>
      </c>
      <c r="D86" s="5"/>
      <c r="E86" s="6"/>
      <c r="F86" s="30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0">
        <f t="shared" si="1"/>
        <v>0</v>
      </c>
      <c r="O86" s="30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96</v>
      </c>
      <c r="D87" s="5"/>
      <c r="E87" s="6"/>
      <c r="F87" s="30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0">
        <f t="shared" si="1"/>
        <v>0</v>
      </c>
      <c r="O87" s="30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18" t="s">
        <v>158</v>
      </c>
      <c r="D88" s="5"/>
      <c r="E88" s="6"/>
      <c r="F88" s="30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0">
        <f t="shared" si="1"/>
        <v>0</v>
      </c>
      <c r="O88" s="30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97</v>
      </c>
      <c r="D89" s="5"/>
      <c r="E89" s="6"/>
      <c r="F89" s="30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0">
        <f t="shared" si="1"/>
        <v>0</v>
      </c>
      <c r="O89" s="30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98</v>
      </c>
      <c r="D90" s="5"/>
      <c r="E90" s="6"/>
      <c r="F90" s="30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0">
        <f t="shared" si="1"/>
        <v>0</v>
      </c>
      <c r="O90" s="30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99</v>
      </c>
      <c r="D91" s="5"/>
      <c r="E91" s="6"/>
      <c r="F91" s="30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0">
        <f t="shared" si="1"/>
        <v>0</v>
      </c>
      <c r="O91" s="30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100</v>
      </c>
      <c r="D92" s="5"/>
      <c r="E92" s="6"/>
      <c r="F92" s="30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0">
        <f t="shared" si="1"/>
        <v>0</v>
      </c>
      <c r="O92" s="30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101</v>
      </c>
      <c r="D93" s="5"/>
      <c r="E93" s="6"/>
      <c r="F93" s="30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0">
        <f t="shared" si="1"/>
        <v>0</v>
      </c>
      <c r="O93" s="30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102</v>
      </c>
      <c r="D94" s="5"/>
      <c r="E94" s="6"/>
      <c r="F94" s="30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0">
        <f t="shared" si="1"/>
        <v>0</v>
      </c>
      <c r="O94" s="30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103</v>
      </c>
      <c r="D95" s="5"/>
      <c r="E95" s="6"/>
      <c r="F95" s="30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0">
        <f t="shared" si="1"/>
        <v>0</v>
      </c>
      <c r="O95" s="30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104</v>
      </c>
      <c r="D96" s="5"/>
      <c r="E96" s="6"/>
      <c r="F96" s="30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0">
        <f t="shared" si="1"/>
        <v>0</v>
      </c>
      <c r="O96" s="30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105</v>
      </c>
      <c r="D97" s="5"/>
      <c r="E97" s="6"/>
      <c r="F97" s="30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0">
        <f t="shared" si="1"/>
        <v>0</v>
      </c>
      <c r="O97" s="30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106</v>
      </c>
      <c r="D98" s="5"/>
      <c r="E98" s="6"/>
      <c r="F98" s="30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0">
        <f t="shared" si="1"/>
        <v>0</v>
      </c>
      <c r="O98" s="30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107</v>
      </c>
      <c r="D99" s="5"/>
      <c r="E99" s="6"/>
      <c r="F99" s="30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0">
        <f t="shared" si="1"/>
        <v>0</v>
      </c>
      <c r="O99" s="30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108</v>
      </c>
      <c r="D100" s="5"/>
      <c r="E100" s="6"/>
      <c r="F100" s="30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0">
        <f t="shared" si="1"/>
        <v>0</v>
      </c>
      <c r="O100" s="30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109</v>
      </c>
      <c r="D101" s="5"/>
      <c r="E101" s="6"/>
      <c r="F101" s="30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0">
        <f t="shared" si="1"/>
        <v>0</v>
      </c>
      <c r="O101" s="30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110</v>
      </c>
      <c r="D102" s="5"/>
      <c r="E102" s="6"/>
      <c r="F102" s="30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0">
        <f t="shared" si="1"/>
        <v>0</v>
      </c>
      <c r="O102" s="30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111</v>
      </c>
      <c r="D103" s="5"/>
      <c r="E103" s="6"/>
      <c r="F103" s="30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0">
        <f t="shared" si="1"/>
        <v>0</v>
      </c>
      <c r="O103" s="30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112</v>
      </c>
      <c r="D104" s="5"/>
      <c r="E104" s="6"/>
      <c r="F104" s="30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0">
        <f t="shared" si="1"/>
        <v>0</v>
      </c>
      <c r="O104" s="30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113</v>
      </c>
      <c r="D105" s="5"/>
      <c r="E105" s="6"/>
      <c r="F105" s="30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0">
        <f t="shared" si="1"/>
        <v>0</v>
      </c>
      <c r="O105" s="30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114</v>
      </c>
      <c r="D106" s="5"/>
      <c r="E106" s="6"/>
      <c r="F106" s="30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0">
        <f t="shared" si="1"/>
        <v>0</v>
      </c>
      <c r="O106" s="30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115</v>
      </c>
      <c r="D107" s="5"/>
      <c r="E107" s="6"/>
      <c r="F107" s="30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0">
        <f t="shared" si="1"/>
        <v>0</v>
      </c>
      <c r="O107" s="30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116</v>
      </c>
      <c r="D108" s="5"/>
      <c r="E108" s="6"/>
      <c r="F108" s="30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0">
        <f t="shared" si="1"/>
        <v>0</v>
      </c>
      <c r="O108" s="30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117</v>
      </c>
      <c r="D110" s="5"/>
      <c r="E110" s="6"/>
      <c r="F110" s="30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0">
        <f t="shared" si="1"/>
        <v>0</v>
      </c>
      <c r="O110" s="30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118</v>
      </c>
      <c r="D111" s="5"/>
      <c r="E111" s="6"/>
      <c r="F111" s="30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0">
        <f t="shared" si="1"/>
        <v>0</v>
      </c>
      <c r="O111" s="30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3">
      <c r="A112" s="3"/>
      <c r="B112" s="3"/>
      <c r="C112" s="7" t="s">
        <v>119</v>
      </c>
      <c r="D112" s="5"/>
      <c r="E112" s="6"/>
      <c r="F112" s="30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0">
        <f t="shared" si="1"/>
        <v>0</v>
      </c>
      <c r="O112" s="30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120</v>
      </c>
      <c r="D113" s="5"/>
      <c r="E113" s="6"/>
      <c r="F113" s="30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0">
        <f t="shared" si="1"/>
        <v>0</v>
      </c>
      <c r="O113" s="30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121</v>
      </c>
      <c r="D114" s="5"/>
      <c r="E114" s="6"/>
      <c r="F114" s="30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0">
        <f t="shared" si="1"/>
        <v>0</v>
      </c>
      <c r="O114" s="30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122</v>
      </c>
      <c r="D115" s="5"/>
      <c r="E115" s="6"/>
      <c r="F115" s="30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0">
        <f t="shared" si="1"/>
        <v>0</v>
      </c>
      <c r="O115" s="30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123</v>
      </c>
      <c r="D116" s="5"/>
      <c r="E116" s="6"/>
      <c r="F116" s="30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0">
        <f t="shared" si="1"/>
        <v>0</v>
      </c>
      <c r="O116" s="30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124</v>
      </c>
      <c r="D117" s="5"/>
      <c r="E117" s="6"/>
      <c r="F117" s="30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0">
        <f t="shared" si="1"/>
        <v>0</v>
      </c>
      <c r="O117" s="30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125</v>
      </c>
      <c r="D118" s="5"/>
      <c r="E118" s="6"/>
      <c r="F118" s="30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0">
        <f t="shared" si="1"/>
        <v>0</v>
      </c>
      <c r="O118" s="30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126</v>
      </c>
      <c r="D119" s="5"/>
      <c r="E119" s="6"/>
      <c r="F119" s="30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0">
        <f t="shared" si="1"/>
        <v>0</v>
      </c>
      <c r="O119" s="30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127</v>
      </c>
      <c r="D120" s="5"/>
      <c r="E120" s="6"/>
      <c r="F120" s="30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0">
        <f t="shared" si="1"/>
        <v>0</v>
      </c>
      <c r="O120" s="30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128</v>
      </c>
      <c r="D121" s="5"/>
      <c r="E121" s="6"/>
      <c r="F121" s="30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0">
        <f t="shared" si="1"/>
        <v>0</v>
      </c>
      <c r="O121" s="30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129</v>
      </c>
      <c r="D122" s="5"/>
      <c r="E122" s="6"/>
      <c r="F122" s="30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0">
        <f t="shared" si="1"/>
        <v>0</v>
      </c>
      <c r="O122" s="30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130</v>
      </c>
      <c r="D123" s="5"/>
      <c r="E123" s="6"/>
      <c r="F123" s="30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0">
        <f t="shared" si="1"/>
        <v>0</v>
      </c>
      <c r="O123" s="30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131</v>
      </c>
      <c r="D124" s="5"/>
      <c r="E124" s="6"/>
      <c r="F124" s="30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0">
        <f t="shared" si="1"/>
        <v>0</v>
      </c>
      <c r="O124" s="30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132</v>
      </c>
      <c r="D125" s="5"/>
      <c r="E125" s="6"/>
      <c r="F125" s="30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0">
        <f t="shared" si="1"/>
        <v>0</v>
      </c>
      <c r="O125" s="30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133</v>
      </c>
      <c r="D126" s="5"/>
      <c r="E126" s="6"/>
      <c r="F126" s="30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0">
        <f t="shared" si="1"/>
        <v>0</v>
      </c>
      <c r="O126" s="30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134</v>
      </c>
      <c r="D127" s="5"/>
      <c r="E127" s="6"/>
      <c r="F127" s="30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0">
        <f t="shared" si="1"/>
        <v>0</v>
      </c>
      <c r="O127" s="30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135</v>
      </c>
      <c r="D128" s="5"/>
      <c r="E128" s="6"/>
      <c r="F128" s="30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0">
        <f t="shared" si="1"/>
        <v>0</v>
      </c>
      <c r="O128" s="30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136</v>
      </c>
      <c r="D129" s="5"/>
      <c r="E129" s="6"/>
      <c r="F129" s="30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0">
        <f t="shared" si="1"/>
        <v>0</v>
      </c>
      <c r="O129" s="30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137</v>
      </c>
      <c r="D130" s="5"/>
      <c r="E130" s="6"/>
      <c r="F130" s="30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0">
        <f t="shared" si="1"/>
        <v>0</v>
      </c>
      <c r="O130" s="30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138</v>
      </c>
      <c r="D131" s="5"/>
      <c r="E131" s="6"/>
      <c r="F131" s="30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0">
        <f t="shared" si="1"/>
        <v>0</v>
      </c>
      <c r="O131" s="30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139</v>
      </c>
      <c r="D132" s="5"/>
      <c r="E132" s="6"/>
      <c r="F132" s="30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0">
        <f t="shared" ref="N132:N144" si="2">D132+E132-B132-A132</f>
        <v>0</v>
      </c>
      <c r="O132" s="30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140</v>
      </c>
      <c r="D133" s="5"/>
      <c r="E133" s="6"/>
      <c r="F133" s="30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0">
        <f t="shared" si="2"/>
        <v>0</v>
      </c>
      <c r="O133" s="30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141</v>
      </c>
      <c r="D134" s="5"/>
      <c r="E134" s="6"/>
      <c r="F134" s="30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0">
        <f t="shared" si="2"/>
        <v>0</v>
      </c>
      <c r="O134" s="30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142</v>
      </c>
      <c r="D135" s="5"/>
      <c r="E135" s="6"/>
      <c r="F135" s="30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0">
        <f t="shared" si="2"/>
        <v>0</v>
      </c>
      <c r="O135" s="30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143</v>
      </c>
      <c r="D136" s="5"/>
      <c r="E136" s="6"/>
      <c r="F136" s="30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0">
        <f t="shared" si="2"/>
        <v>0</v>
      </c>
      <c r="O136" s="30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144</v>
      </c>
      <c r="D137" s="5"/>
      <c r="E137" s="6"/>
      <c r="F137" s="30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0">
        <f t="shared" si="2"/>
        <v>0</v>
      </c>
      <c r="O137" s="30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145</v>
      </c>
      <c r="D138" s="5"/>
      <c r="E138" s="6"/>
      <c r="F138" s="30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0">
        <f t="shared" si="2"/>
        <v>0</v>
      </c>
      <c r="O138" s="30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146</v>
      </c>
      <c r="D139" s="5"/>
      <c r="E139" s="6"/>
      <c r="F139" s="30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0">
        <f t="shared" si="2"/>
        <v>0</v>
      </c>
      <c r="O139" s="30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147</v>
      </c>
      <c r="D140" s="5"/>
      <c r="E140" s="6"/>
      <c r="F140" s="30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0">
        <f t="shared" si="2"/>
        <v>0</v>
      </c>
      <c r="O140" s="30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148</v>
      </c>
      <c r="D141" s="5"/>
      <c r="E141" s="6"/>
      <c r="F141" s="30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0">
        <f t="shared" si="2"/>
        <v>0</v>
      </c>
      <c r="O141" s="30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149</v>
      </c>
      <c r="D142" s="5"/>
      <c r="E142" s="6"/>
      <c r="F142" s="30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0">
        <f t="shared" si="2"/>
        <v>0</v>
      </c>
      <c r="O142" s="30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150</v>
      </c>
      <c r="D143" s="5"/>
      <c r="E143" s="6"/>
      <c r="F143" s="30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0">
        <f t="shared" si="2"/>
        <v>0</v>
      </c>
      <c r="O143" s="30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5.75" customHeight="1" thickTop="1" thickBot="1" x14ac:dyDescent="0.25">
      <c r="A144" s="3"/>
      <c r="B144" s="3"/>
      <c r="C144" s="7" t="s">
        <v>151</v>
      </c>
      <c r="D144" s="5"/>
      <c r="E144" s="6"/>
      <c r="F144" s="30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0">
        <f t="shared" si="2"/>
        <v>0</v>
      </c>
      <c r="O144" s="30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5.75" customHeight="1" x14ac:dyDescent="0.2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0"/>
      <c r="AC145" s="30"/>
      <c r="AD145" s="30"/>
      <c r="AE145" s="30"/>
      <c r="AF145" s="30"/>
      <c r="AG145" s="30"/>
      <c r="AH145" s="30"/>
      <c r="AI145" s="30"/>
      <c r="AJ145" s="30"/>
      <c r="AK145" s="30"/>
      <c r="AL145" s="30"/>
      <c r="AM145" s="30"/>
      <c r="AN145" s="30"/>
      <c r="AO145" s="30"/>
    </row>
    <row r="146" spans="1:41" ht="12.75" x14ac:dyDescent="0.2">
      <c r="A146" s="30"/>
      <c r="B146" s="30"/>
      <c r="C146" s="30"/>
      <c r="D146" s="30"/>
      <c r="E146" s="30"/>
      <c r="F146" s="30"/>
      <c r="G146" s="30"/>
      <c r="H146" s="30"/>
      <c r="I146" s="30"/>
      <c r="J146" s="30">
        <f>SUM(J2:J144)*Pondération!B2</f>
        <v>0</v>
      </c>
      <c r="K146" s="30">
        <f>SUM(K2:K144)*Pondération!B1</f>
        <v>0</v>
      </c>
      <c r="L146" s="30">
        <f>SUM(L2:L144)*Pondération!B2</f>
        <v>0</v>
      </c>
      <c r="M146" s="30">
        <f>SUM(M2:M144)*Pondération!B1</f>
        <v>0</v>
      </c>
      <c r="N146" s="30"/>
      <c r="O146" s="30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0"/>
      <c r="AC146" s="30"/>
      <c r="AD146" s="30"/>
      <c r="AE146" s="30"/>
      <c r="AF146" s="30"/>
      <c r="AG146" s="30"/>
      <c r="AH146" s="30"/>
      <c r="AI146" s="30"/>
      <c r="AJ146" s="30"/>
      <c r="AK146" s="30"/>
      <c r="AL146" s="30"/>
      <c r="AM146" s="30"/>
      <c r="AN146" s="30"/>
      <c r="AO146" s="30"/>
    </row>
    <row r="147" spans="1:41" ht="15.75" customHeight="1" x14ac:dyDescent="0.2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</row>
    <row r="148" spans="1:41" ht="15.75" customHeight="1" x14ac:dyDescent="0.2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/>
      <c r="AG148" s="30"/>
      <c r="AH148" s="30"/>
      <c r="AI148" s="30"/>
      <c r="AJ148" s="30"/>
      <c r="AK148" s="30"/>
      <c r="AL148" s="30"/>
      <c r="AM148" s="30"/>
      <c r="AN148" s="30"/>
      <c r="AO148" s="30"/>
    </row>
    <row r="149" spans="1:41" ht="15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</row>
    <row r="150" spans="1:41" ht="15.75" customHeight="1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</row>
    <row r="151" spans="1:41" ht="15.75" customHeight="1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20"/>
    </row>
    <row r="152" spans="1:41" ht="15.75" customHeight="1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20"/>
    </row>
    <row r="153" spans="1:41" ht="15.75" customHeight="1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20"/>
    </row>
    <row r="154" spans="1:41" ht="15.75" customHeight="1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</row>
    <row r="155" spans="1:41" ht="15.75" customHeight="1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20"/>
    </row>
    <row r="156" spans="1:41" ht="15.75" customHeight="1" x14ac:dyDescent="0.2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20"/>
    </row>
    <row r="157" spans="1:41" ht="15.75" customHeight="1" x14ac:dyDescent="0.2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20"/>
    </row>
    <row r="158" spans="1:41" ht="15.75" customHeight="1" x14ac:dyDescent="0.2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20"/>
    </row>
    <row r="159" spans="1:41" ht="15.75" customHeight="1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20"/>
    </row>
    <row r="160" spans="1:41" ht="15.75" customHeight="1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20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  <ignoredErrors>
    <ignoredError sqref="K14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P237"/>
  <sheetViews>
    <sheetView zoomScaleNormal="100"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ref="N109" si="2">D109+E109-B109-A109</f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3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3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3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3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3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3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3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3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3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3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3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3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3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41"/>
      <c r="G1" s="41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41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41">
        <f>IF(I2=1,Pondération!B$3*(B2-D2),IF(I2=2,Pondération!B$4*(B2-D2),IF(I2=3,Pondération!B$5*(B2-D2),IF(I2=4,Pondération!B$6*(B2-D2),IF(I2=5,Pondération!B$7*(B2-D2),0)))))</f>
        <v>0</v>
      </c>
      <c r="K2" s="41">
        <f>IF(H2=5,Pondération!B$7*(A2-E2),0)</f>
        <v>0</v>
      </c>
      <c r="L2" s="41">
        <f>IF(I2=5,Pondération!B$7*(B2-D2),IF(I2=4,Pondération!B$6*(B2-D2),0))</f>
        <v>0</v>
      </c>
      <c r="M2" s="41">
        <f>IF(H2=1,Pondération!B$3*(A2-E2),IF(H2=2,Pondération!B$4*(A2-E2),IF(H2=3,Pondération!B$5*(A2-E2),IF(H2=4,Pondération!B$6*(A2-E2),IF(H2=5,Pondération!B$7*(A2-E2),0)))))</f>
        <v>0</v>
      </c>
      <c r="N2" s="41">
        <f t="shared" ref="N2:N65" si="0">D2+E2-B2-A2</f>
        <v>0</v>
      </c>
      <c r="O2" s="41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41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41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41">
        <f>IF(I3=1,Pondération!B$3*(B3-D3),IF(I3=2,Pondération!B$4*(B3-D3),IF(I3=3,Pondération!B$5*(B3-D3),IF(I3=4,Pondération!B$6*(B3-D3),IF(I3=5,Pondération!B$7*(B3-D3),0)))))</f>
        <v>0</v>
      </c>
      <c r="K3" s="41">
        <f>IF(H3=5,Pondération!B$7*(A3-E3),0)</f>
        <v>0</v>
      </c>
      <c r="L3" s="41">
        <f>IF(I3=5,Pondération!B$7*(B3-D3),IF(I3=4,Pondération!B$6*(B3-D3),0))</f>
        <v>0</v>
      </c>
      <c r="M3" s="41">
        <f>IF(H3=1,Pondération!B$3*(A3-E3),IF(H3=2,Pondération!B$4*(A3-E3),IF(H3=3,Pondération!B$5*(A3-E3),IF(H3=4,Pondération!B$6*(A3-E3),IF(H3=5,Pondération!B$7*(A3-E3),0)))))</f>
        <v>0</v>
      </c>
      <c r="N3" s="41">
        <f t="shared" si="0"/>
        <v>0</v>
      </c>
      <c r="O3" s="41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41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41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41">
        <f>IF(I4=1,Pondération!B$3*(B4-D4),IF(I4=2,Pondération!B$4*(B4-D4),IF(I4=3,Pondération!B$5*(B4-D4),IF(I4=4,Pondération!B$6*(B4-D4),IF(I4=5,Pondération!B$7*(B4-D4),0)))))</f>
        <v>0</v>
      </c>
      <c r="K4" s="41">
        <f>IF(H4=5,Pondération!B$7*(A4-E4),0)</f>
        <v>0</v>
      </c>
      <c r="L4" s="41">
        <f>IF(I4=5,Pondération!B$7*(B4-D4),IF(I4=4,Pondération!B$6*(B4-D4),0))</f>
        <v>0</v>
      </c>
      <c r="M4" s="41">
        <f>IF(H4=1,Pondération!B$3*(A4-E4),IF(H4=2,Pondération!B$4*(A4-E4),IF(H4=3,Pondération!B$5*(A4-E4),IF(H4=4,Pondération!B$6*(A4-E4),IF(H4=5,Pondération!B$7*(A4-E4),0)))))</f>
        <v>0</v>
      </c>
      <c r="N4" s="41">
        <f t="shared" si="0"/>
        <v>0</v>
      </c>
      <c r="O4" s="41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41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41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41">
        <f>IF(I5=1,Pondération!B$3*(B5-D5),IF(I5=2,Pondération!B$4*(B5-D5),IF(I5=3,Pondération!B$5*(B5-D5),IF(I5=4,Pondération!B$6*(B5-D5),IF(I5=5,Pondération!B$7*(B5-D5),0)))))</f>
        <v>0</v>
      </c>
      <c r="K5" s="41">
        <f>IF(H5=5,Pondération!B$7*(A5-E5),0)</f>
        <v>0</v>
      </c>
      <c r="L5" s="41">
        <f>IF(I5=5,Pondération!B$7*(B5-D5),IF(I5=4,Pondération!B$6*(B5-D5),0))</f>
        <v>0</v>
      </c>
      <c r="M5" s="41">
        <f>IF(H5=1,Pondération!B$3*(A5-E5),IF(H5=2,Pondération!B$4*(A5-E5),IF(H5=3,Pondération!B$5*(A5-E5),IF(H5=4,Pondération!B$6*(A5-E5),IF(H5=5,Pondération!B$7*(A5-E5),0)))))</f>
        <v>0</v>
      </c>
      <c r="N5" s="41">
        <f t="shared" si="0"/>
        <v>0</v>
      </c>
      <c r="O5" s="41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41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41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41">
        <f>IF(I6=1,Pondération!B$3*(B6-D6),IF(I6=2,Pondération!B$4*(B6-D6),IF(I6=3,Pondération!B$5*(B6-D6),IF(I6=4,Pondération!B$6*(B6-D6),IF(I6=5,Pondération!B$7*(B6-D6),0)))))</f>
        <v>0</v>
      </c>
      <c r="K6" s="41">
        <f>IF(H6=5,Pondération!B$7*(A6-E6),0)</f>
        <v>0</v>
      </c>
      <c r="L6" s="41">
        <f>IF(I6=5,Pondération!B$7*(B6-D6),IF(I6=4,Pondération!B$6*(B6-D6),0))</f>
        <v>0</v>
      </c>
      <c r="M6" s="41">
        <f>IF(H6=1,Pondération!B$3*(A6-E6),IF(H6=2,Pondération!B$4*(A6-E6),IF(H6=3,Pondération!B$5*(A6-E6),IF(H6=4,Pondération!B$6*(A6-E6),IF(H6=5,Pondération!B$7*(A6-E6),0)))))</f>
        <v>0</v>
      </c>
      <c r="N6" s="41">
        <f t="shared" si="0"/>
        <v>0</v>
      </c>
      <c r="O6" s="41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41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41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41">
        <f>IF(I7=1,Pondération!B$3*(B7-D7),IF(I7=2,Pondération!B$4*(B7-D7),IF(I7=3,Pondération!B$5*(B7-D7),IF(I7=4,Pondération!B$6*(B7-D7),IF(I7=5,Pondération!B$7*(B7-D7),0)))))</f>
        <v>0</v>
      </c>
      <c r="K7" s="41">
        <f>IF(H7=5,Pondération!B$7*(A7-E7),0)</f>
        <v>0</v>
      </c>
      <c r="L7" s="41">
        <f>IF(I7=5,Pondération!B$7*(B7-D7),IF(I7=4,Pondération!B$6*(B7-D7),0))</f>
        <v>0</v>
      </c>
      <c r="M7" s="41">
        <f>IF(H7=1,Pondération!B$3*(A7-E7),IF(H7=2,Pondération!B$4*(A7-E7),IF(H7=3,Pondération!B$5*(A7-E7),IF(H7=4,Pondération!B$6*(A7-E7),IF(H7=5,Pondération!B$7*(A7-E7),0)))))</f>
        <v>0</v>
      </c>
      <c r="N7" s="41">
        <f t="shared" si="0"/>
        <v>0</v>
      </c>
      <c r="O7" s="41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41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41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41">
        <f>IF(I8=1,Pondération!B$3*(B8-D8),IF(I8=2,Pondération!B$4*(B8-D8),IF(I8=3,Pondération!B$5*(B8-D8),IF(I8=4,Pondération!B$6*(B8-D8),IF(I8=5,Pondération!B$7*(B8-D8),0)))))</f>
        <v>0</v>
      </c>
      <c r="K8" s="41">
        <f>IF(H8=5,Pondération!B$7*(A8-E8),0)</f>
        <v>0</v>
      </c>
      <c r="L8" s="41">
        <f>IF(I8=5,Pondération!B$7*(B8-D8),IF(I8=4,Pondération!B$6*(B8-D8),0))</f>
        <v>0</v>
      </c>
      <c r="M8" s="41">
        <f>IF(H8=1,Pondération!B$3*(A8-E8),IF(H8=2,Pondération!B$4*(A8-E8),IF(H8=3,Pondération!B$5*(A8-E8),IF(H8=4,Pondération!B$6*(A8-E8),IF(H8=5,Pondération!B$7*(A8-E8),0)))))</f>
        <v>0</v>
      </c>
      <c r="N8" s="41">
        <f t="shared" si="0"/>
        <v>0</v>
      </c>
      <c r="O8" s="4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41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41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41">
        <f>IF(I9=1,Pondération!B$3*(B9-D9),IF(I9=2,Pondération!B$4*(B9-D9),IF(I9=3,Pondération!B$5*(B9-D9),IF(I9=4,Pondération!B$6*(B9-D9),IF(I9=5,Pondération!B$7*(B9-D9),0)))))</f>
        <v>0</v>
      </c>
      <c r="K9" s="41">
        <f>IF(H9=5,Pondération!B$7*(A9-E9),0)</f>
        <v>0</v>
      </c>
      <c r="L9" s="41">
        <f>IF(I9=5,Pondération!B$7*(B9-D9),IF(I9=4,Pondération!B$6*(B9-D9),0))</f>
        <v>0</v>
      </c>
      <c r="M9" s="41">
        <f>IF(H9=1,Pondération!B$3*(A9-E9),IF(H9=2,Pondération!B$4*(A9-E9),IF(H9=3,Pondération!B$5*(A9-E9),IF(H9=4,Pondération!B$6*(A9-E9),IF(H9=5,Pondération!B$7*(A9-E9),0)))))</f>
        <v>0</v>
      </c>
      <c r="N9" s="41">
        <f t="shared" si="0"/>
        <v>0</v>
      </c>
      <c r="O9" s="41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41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41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41">
        <f>IF(I10=1,Pondération!B$3*(B10-D10),IF(I10=2,Pondération!B$4*(B10-D10),IF(I10=3,Pondération!B$5*(B10-D10),IF(I10=4,Pondération!B$6*(B10-D10),IF(I10=5,Pondération!B$7*(B10-D10),0)))))</f>
        <v>0</v>
      </c>
      <c r="K10" s="41">
        <f>IF(H10=5,Pondération!B$7*(A10-E10),0)</f>
        <v>0</v>
      </c>
      <c r="L10" s="41">
        <f>IF(I10=5,Pondération!B$7*(B10-D10),IF(I10=4,Pondération!B$6*(B10-D10),0))</f>
        <v>0</v>
      </c>
      <c r="M10" s="41">
        <f>IF(H10=1,Pondération!B$3*(A10-E10),IF(H10=2,Pondération!B$4*(A10-E10),IF(H10=3,Pondération!B$5*(A10-E10),IF(H10=4,Pondération!B$6*(A10-E10),IF(H10=5,Pondération!B$7*(A10-E10),0)))))</f>
        <v>0</v>
      </c>
      <c r="N10" s="41">
        <f t="shared" si="0"/>
        <v>0</v>
      </c>
      <c r="O10" s="41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41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41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41">
        <f>IF(I11=1,Pondération!B$3*(B11-D11),IF(I11=2,Pondération!B$4*(B11-D11),IF(I11=3,Pondération!B$5*(B11-D11),IF(I11=4,Pondération!B$6*(B11-D11),IF(I11=5,Pondération!B$7*(B11-D11),0)))))</f>
        <v>0</v>
      </c>
      <c r="K11" s="41">
        <f>IF(H11=5,Pondération!B$7*(A11-E11),0)</f>
        <v>0</v>
      </c>
      <c r="L11" s="41">
        <f>IF(I11=5,Pondération!B$7*(B11-D11),IF(I11=4,Pondération!B$6*(B11-D11),0))</f>
        <v>0</v>
      </c>
      <c r="M11" s="41">
        <f>IF(H11=1,Pondération!B$3*(A11-E11),IF(H11=2,Pondération!B$4*(A11-E11),IF(H11=3,Pondération!B$5*(A11-E11),IF(H11=4,Pondération!B$6*(A11-E11),IF(H11=5,Pondération!B$7*(A11-E11),0)))))</f>
        <v>0</v>
      </c>
      <c r="N11" s="41">
        <f t="shared" si="0"/>
        <v>0</v>
      </c>
      <c r="O11" s="41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41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41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41">
        <f>IF(I12=1,Pondération!B$3*(B12-D12),IF(I12=2,Pondération!B$4*(B12-D12),IF(I12=3,Pondération!B$5*(B12-D12),IF(I12=4,Pondération!B$6*(B12-D12),IF(I12=5,Pondération!B$7*(B12-D12),0)))))</f>
        <v>0</v>
      </c>
      <c r="K12" s="41">
        <f>IF(H12=5,Pondération!B$7*(A12-E12),0)</f>
        <v>0</v>
      </c>
      <c r="L12" s="41">
        <f>IF(I12=5,Pondération!B$7*(B12-D12),IF(I12=4,Pondération!B$6*(B12-D12),0))</f>
        <v>0</v>
      </c>
      <c r="M12" s="41">
        <f>IF(H12=1,Pondération!B$3*(A12-E12),IF(H12=2,Pondération!B$4*(A12-E12),IF(H12=3,Pondération!B$5*(A12-E12),IF(H12=4,Pondération!B$6*(A12-E12),IF(H12=5,Pondération!B$7*(A12-E12),0)))))</f>
        <v>0</v>
      </c>
      <c r="N12" s="41">
        <f t="shared" si="0"/>
        <v>0</v>
      </c>
      <c r="O12" s="41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41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41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41">
        <f>IF(I13=1,Pondération!B$3*(B13-D13),IF(I13=2,Pondération!B$4*(B13-D13),IF(I13=3,Pondération!B$5*(B13-D13),IF(I13=4,Pondération!B$6*(B13-D13),IF(I13=5,Pondération!B$7*(B13-D13),0)))))</f>
        <v>0</v>
      </c>
      <c r="K13" s="41">
        <f>IF(H13=5,Pondération!B$7*(A13-E13),0)</f>
        <v>0</v>
      </c>
      <c r="L13" s="41">
        <f>IF(I13=5,Pondération!B$7*(B13-D13),IF(I13=4,Pondération!B$6*(B13-D13),0))</f>
        <v>0</v>
      </c>
      <c r="M13" s="41">
        <f>IF(H13=1,Pondération!B$3*(A13-E13),IF(H13=2,Pondération!B$4*(A13-E13),IF(H13=3,Pondération!B$5*(A13-E13),IF(H13=4,Pondération!B$6*(A13-E13),IF(H13=5,Pondération!B$7*(A13-E13),0)))))</f>
        <v>0</v>
      </c>
      <c r="N13" s="41">
        <f t="shared" si="0"/>
        <v>0</v>
      </c>
      <c r="O13" s="41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41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41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41">
        <f>IF(I14=1,Pondération!B$3*(B14-D14),IF(I14=2,Pondération!B$4*(B14-D14),IF(I14=3,Pondération!B$5*(B14-D14),IF(I14=4,Pondération!B$6*(B14-D14),IF(I14=5,Pondération!B$7*(B14-D14),0)))))</f>
        <v>0</v>
      </c>
      <c r="K14" s="41">
        <f>IF(H14=5,Pondération!B$7*(A14-E14),0)</f>
        <v>0</v>
      </c>
      <c r="L14" s="41">
        <f>IF(I14=5,Pondération!B$7*(B14-D14),IF(I14=4,Pondération!B$6*(B14-D14),0))</f>
        <v>0</v>
      </c>
      <c r="M14" s="41">
        <f>IF(H14=1,Pondération!B$3*(A14-E14),IF(H14=2,Pondération!B$4*(A14-E14),IF(H14=3,Pondération!B$5*(A14-E14),IF(H14=4,Pondération!B$6*(A14-E14),IF(H14=5,Pondération!B$7*(A14-E14),0)))))</f>
        <v>0</v>
      </c>
      <c r="N14" s="41">
        <f t="shared" si="0"/>
        <v>0</v>
      </c>
      <c r="O14" s="41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41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41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41">
        <f>IF(I15=1,Pondération!B$3*(B15-D15),IF(I15=2,Pondération!B$4*(B15-D15),IF(I15=3,Pondération!B$5*(B15-D15),IF(I15=4,Pondération!B$6*(B15-D15),IF(I15=5,Pondération!B$7*(B15-D15),0)))))</f>
        <v>0</v>
      </c>
      <c r="K15" s="41">
        <f>IF(H15=5,Pondération!B$7*(A15-E15),0)</f>
        <v>0</v>
      </c>
      <c r="L15" s="41">
        <f>IF(I15=5,Pondération!B$7*(B15-D15),IF(I15=4,Pondération!B$6*(B15-D15),0))</f>
        <v>0</v>
      </c>
      <c r="M15" s="41">
        <f>IF(H15=1,Pondération!B$3*(A15-E15),IF(H15=2,Pondération!B$4*(A15-E15),IF(H15=3,Pondération!B$5*(A15-E15),IF(H15=4,Pondération!B$6*(A15-E15),IF(H15=5,Pondération!B$7*(A15-E15),0)))))</f>
        <v>0</v>
      </c>
      <c r="N15" s="41">
        <f t="shared" si="0"/>
        <v>0</v>
      </c>
      <c r="O15" s="41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41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41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41">
        <f>IF(I16=1,Pondération!B$3*(B16-D16),IF(I16=2,Pondération!B$4*(B16-D16),IF(I16=3,Pondération!B$5*(B16-D16),IF(I16=4,Pondération!B$6*(B16-D16),IF(I16=5,Pondération!B$7*(B16-D16),0)))))</f>
        <v>0</v>
      </c>
      <c r="K16" s="41">
        <f>IF(H16=5,Pondération!B$7*(A16-E16),0)</f>
        <v>0</v>
      </c>
      <c r="L16" s="41">
        <f>IF(I16=5,Pondération!B$7*(B16-D16),IF(I16=4,Pondération!B$6*(B16-D16),0))</f>
        <v>0</v>
      </c>
      <c r="M16" s="41">
        <f>IF(H16=1,Pondération!B$3*(A16-E16),IF(H16=2,Pondération!B$4*(A16-E16),IF(H16=3,Pondération!B$5*(A16-E16),IF(H16=4,Pondération!B$6*(A16-E16),IF(H16=5,Pondération!B$7*(A16-E16),0)))))</f>
        <v>0</v>
      </c>
      <c r="N16" s="41">
        <f t="shared" si="0"/>
        <v>0</v>
      </c>
      <c r="O16" s="41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41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41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41">
        <f>IF(I17=1,Pondération!B$3*(B17-D17),IF(I17=2,Pondération!B$4*(B17-D17),IF(I17=3,Pondération!B$5*(B17-D17),IF(I17=4,Pondération!B$6*(B17-D17),IF(I17=5,Pondération!B$7*(B17-D17),0)))))</f>
        <v>0</v>
      </c>
      <c r="K17" s="41">
        <f>IF(H17=5,Pondération!B$7*(A17-E17),0)</f>
        <v>0</v>
      </c>
      <c r="L17" s="41">
        <f>IF(I17=5,Pondération!B$7*(B17-D17),IF(I17=4,Pondération!B$6*(B17-D17),0))</f>
        <v>0</v>
      </c>
      <c r="M17" s="41">
        <f>IF(H17=1,Pondération!B$3*(A17-E17),IF(H17=2,Pondération!B$4*(A17-E17),IF(H17=3,Pondération!B$5*(A17-E17),IF(H17=4,Pondération!B$6*(A17-E17),IF(H17=5,Pondération!B$7*(A17-E17),0)))))</f>
        <v>0</v>
      </c>
      <c r="N17" s="41">
        <f t="shared" si="0"/>
        <v>0</v>
      </c>
      <c r="O17" s="41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41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41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41">
        <f>IF(I18=1,Pondération!B$3*(B18-D18),IF(I18=2,Pondération!B$4*(B18-D18),IF(I18=3,Pondération!B$5*(B18-D18),IF(I18=4,Pondération!B$6*(B18-D18),IF(I18=5,Pondération!B$7*(B18-D18),0)))))</f>
        <v>0</v>
      </c>
      <c r="K18" s="41">
        <f>IF(H18=5,Pondération!B$7*(A18-E18),0)</f>
        <v>0</v>
      </c>
      <c r="L18" s="41">
        <f>IF(I18=5,Pondération!B$7*(B18-D18),IF(I18=4,Pondération!B$6*(B18-D18),0))</f>
        <v>0</v>
      </c>
      <c r="M18" s="41">
        <f>IF(H18=1,Pondération!B$3*(A18-E18),IF(H18=2,Pondération!B$4*(A18-E18),IF(H18=3,Pondération!B$5*(A18-E18),IF(H18=4,Pondération!B$6*(A18-E18),IF(H18=5,Pondération!B$7*(A18-E18),0)))))</f>
        <v>0</v>
      </c>
      <c r="N18" s="41">
        <f t="shared" si="0"/>
        <v>0</v>
      </c>
      <c r="O18" s="41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41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41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41">
        <f>IF(I19=1,Pondération!B$3*(B19-D19),IF(I19=2,Pondération!B$4*(B19-D19),IF(I19=3,Pondération!B$5*(B19-D19),IF(I19=4,Pondération!B$6*(B19-D19),IF(I19=5,Pondération!B$7*(B19-D19),0)))))</f>
        <v>0</v>
      </c>
      <c r="K19" s="41">
        <f>IF(H19=5,Pondération!B$7*(A19-E19),0)</f>
        <v>0</v>
      </c>
      <c r="L19" s="41">
        <f>IF(I19=5,Pondération!B$7*(B19-D19),IF(I19=4,Pondération!B$6*(B19-D19),0))</f>
        <v>0</v>
      </c>
      <c r="M19" s="41">
        <f>IF(H19=1,Pondération!B$3*(A19-E19),IF(H19=2,Pondération!B$4*(A19-E19),IF(H19=3,Pondération!B$5*(A19-E19),IF(H19=4,Pondération!B$6*(A19-E19),IF(H19=5,Pondération!B$7*(A19-E19),0)))))</f>
        <v>0</v>
      </c>
      <c r="N19" s="41">
        <f t="shared" si="0"/>
        <v>0</v>
      </c>
      <c r="O19" s="41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41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41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41">
        <f>IF(I20=1,Pondération!B$3*(B20-D20),IF(I20=2,Pondération!B$4*(B20-D20),IF(I20=3,Pondération!B$5*(B20-D20),IF(I20=4,Pondération!B$6*(B20-D20),IF(I20=5,Pondération!B$7*(B20-D20),0)))))</f>
        <v>0</v>
      </c>
      <c r="K20" s="41">
        <f>IF(H20=5,Pondération!B$7*(A20-E20),0)</f>
        <v>0</v>
      </c>
      <c r="L20" s="41">
        <f>IF(I20=5,Pondération!B$7*(B20-D20),IF(I20=4,Pondération!B$6*(B20-D20),0))</f>
        <v>0</v>
      </c>
      <c r="M20" s="41">
        <f>IF(H20=1,Pondération!B$3*(A20-E20),IF(H20=2,Pondération!B$4*(A20-E20),IF(H20=3,Pondération!B$5*(A20-E20),IF(H20=4,Pondération!B$6*(A20-E20),IF(H20=5,Pondération!B$7*(A20-E20),0)))))</f>
        <v>0</v>
      </c>
      <c r="N20" s="41">
        <f t="shared" si="0"/>
        <v>0</v>
      </c>
      <c r="O20" s="41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41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41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41">
        <f>IF(I21=1,Pondération!B$3*(B21-D21),IF(I21=2,Pondération!B$4*(B21-D21),IF(I21=3,Pondération!B$5*(B21-D21),IF(I21=4,Pondération!B$6*(B21-D21),IF(I21=5,Pondération!B$7*(B21-D21),0)))))</f>
        <v>0</v>
      </c>
      <c r="K21" s="41">
        <f>IF(H21=5,Pondération!B$7*(A21-E21),0)</f>
        <v>0</v>
      </c>
      <c r="L21" s="41">
        <f>IF(I21=5,Pondération!B$7*(B21-D21),IF(I21=4,Pondération!B$6*(B21-D21),0))</f>
        <v>0</v>
      </c>
      <c r="M21" s="41">
        <f>IF(H21=1,Pondération!B$3*(A21-E21),IF(H21=2,Pondération!B$4*(A21-E21),IF(H21=3,Pondération!B$5*(A21-E21),IF(H21=4,Pondération!B$6*(A21-E21),IF(H21=5,Pondération!B$7*(A21-E21),0)))))</f>
        <v>0</v>
      </c>
      <c r="N21" s="41">
        <f t="shared" si="0"/>
        <v>0</v>
      </c>
      <c r="O21" s="41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41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41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41">
        <f>IF(I22=1,Pondération!B$3*(B22-D22),IF(I22=2,Pondération!B$4*(B22-D22),IF(I22=3,Pondération!B$5*(B22-D22),IF(I22=4,Pondération!B$6*(B22-D22),IF(I22=5,Pondération!B$7*(B22-D22),0)))))</f>
        <v>0</v>
      </c>
      <c r="K22" s="41">
        <f>IF(H22=5,Pondération!B$7*(A22-E22),0)</f>
        <v>0</v>
      </c>
      <c r="L22" s="41">
        <f>IF(I22=5,Pondération!B$7*(B22-D22),IF(I22=4,Pondération!B$6*(B22-D22),0))</f>
        <v>0</v>
      </c>
      <c r="M22" s="41">
        <f>IF(H22=1,Pondération!B$3*(A22-E22),IF(H22=2,Pondération!B$4*(A22-E22),IF(H22=3,Pondération!B$5*(A22-E22),IF(H22=4,Pondération!B$6*(A22-E22),IF(H22=5,Pondération!B$7*(A22-E22),0)))))</f>
        <v>0</v>
      </c>
      <c r="N22" s="41">
        <f t="shared" si="0"/>
        <v>0</v>
      </c>
      <c r="O22" s="41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41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41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41">
        <f>IF(I23=1,Pondération!B$3*(B23-D23),IF(I23=2,Pondération!B$4*(B23-D23),IF(I23=3,Pondération!B$5*(B23-D23),IF(I23=4,Pondération!B$6*(B23-D23),IF(I23=5,Pondération!B$7*(B23-D23),0)))))</f>
        <v>0</v>
      </c>
      <c r="K23" s="41">
        <f>IF(H23=5,Pondération!B$7*(A23-E23),0)</f>
        <v>0</v>
      </c>
      <c r="L23" s="41">
        <f>IF(I23=5,Pondération!B$7*(B23-D23),IF(I23=4,Pondération!B$6*(B23-D23),0))</f>
        <v>0</v>
      </c>
      <c r="M23" s="41">
        <f>IF(H23=1,Pondération!B$3*(A23-E23),IF(H23=2,Pondération!B$4*(A23-E23),IF(H23=3,Pondération!B$5*(A23-E23),IF(H23=4,Pondération!B$6*(A23-E23),IF(H23=5,Pondération!B$7*(A23-E23),0)))))</f>
        <v>0</v>
      </c>
      <c r="N23" s="41">
        <f t="shared" si="0"/>
        <v>0</v>
      </c>
      <c r="O23" s="41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41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41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41">
        <f>IF(I24=1,Pondération!B$3*(B24-D24),IF(I24=2,Pondération!B$4*(B24-D24),IF(I24=3,Pondération!B$5*(B24-D24),IF(I24=4,Pondération!B$6*(B24-D24),IF(I24=5,Pondération!B$7*(B24-D24),0)))))</f>
        <v>0</v>
      </c>
      <c r="K24" s="41">
        <f>IF(H24=5,Pondération!B$7*(A24-E24),0)</f>
        <v>0</v>
      </c>
      <c r="L24" s="41">
        <f>IF(I24=5,Pondération!B$7*(B24-D24),IF(I24=4,Pondération!B$6*(B24-D24),0))</f>
        <v>0</v>
      </c>
      <c r="M24" s="41">
        <f>IF(H24=1,Pondération!B$3*(A24-E24),IF(H24=2,Pondération!B$4*(A24-E24),IF(H24=3,Pondération!B$5*(A24-E24),IF(H24=4,Pondération!B$6*(A24-E24),IF(H24=5,Pondération!B$7*(A24-E24),0)))))</f>
        <v>0</v>
      </c>
      <c r="N24" s="41">
        <f t="shared" si="0"/>
        <v>0</v>
      </c>
      <c r="O24" s="41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41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41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41">
        <f>IF(I25=1,Pondération!B$3*(B25-D25),IF(I25=2,Pondération!B$4*(B25-D25),IF(I25=3,Pondération!B$5*(B25-D25),IF(I25=4,Pondération!B$6*(B25-D25),IF(I25=5,Pondération!B$7*(B25-D25),0)))))</f>
        <v>0</v>
      </c>
      <c r="K25" s="41">
        <f>IF(H25=5,Pondération!B$7*(A25-E25),0)</f>
        <v>0</v>
      </c>
      <c r="L25" s="41">
        <f>IF(I25=5,Pondération!B$7*(B25-D25),IF(I25=4,Pondération!B$6*(B25-D25),0))</f>
        <v>0</v>
      </c>
      <c r="M25" s="41">
        <f>IF(H25=1,Pondération!B$3*(A25-E25),IF(H25=2,Pondération!B$4*(A25-E25),IF(H25=3,Pondération!B$5*(A25-E25),IF(H25=4,Pondération!B$6*(A25-E25),IF(H25=5,Pondération!B$7*(A25-E25),0)))))</f>
        <v>0</v>
      </c>
      <c r="N25" s="41">
        <f t="shared" si="0"/>
        <v>0</v>
      </c>
      <c r="O25" s="41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41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41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41">
        <f>IF(I26=1,Pondération!B$3*(B26-D26),IF(I26=2,Pondération!B$4*(B26-D26),IF(I26=3,Pondération!B$5*(B26-D26),IF(I26=4,Pondération!B$6*(B26-D26),IF(I26=5,Pondération!B$7*(B26-D26),0)))))</f>
        <v>0</v>
      </c>
      <c r="K26" s="41">
        <f>IF(H26=5,Pondération!B$7*(A26-E26),0)</f>
        <v>0</v>
      </c>
      <c r="L26" s="41">
        <f>IF(I26=5,Pondération!B$7*(B26-D26),IF(I26=4,Pondération!B$6*(B26-D26),0))</f>
        <v>0</v>
      </c>
      <c r="M26" s="41">
        <f>IF(H26=1,Pondération!B$3*(A26-E26),IF(H26=2,Pondération!B$4*(A26-E26),IF(H26=3,Pondération!B$5*(A26-E26),IF(H26=4,Pondération!B$6*(A26-E26),IF(H26=5,Pondération!B$7*(A26-E26),0)))))</f>
        <v>0</v>
      </c>
      <c r="N26" s="41">
        <f t="shared" si="0"/>
        <v>0</v>
      </c>
      <c r="O26" s="41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41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41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41">
        <f>IF(I27=1,Pondération!B$3*(B27-D27),IF(I27=2,Pondération!B$4*(B27-D27),IF(I27=3,Pondération!B$5*(B27-D27),IF(I27=4,Pondération!B$6*(B27-D27),IF(I27=5,Pondération!B$7*(B27-D27),0)))))</f>
        <v>0</v>
      </c>
      <c r="K27" s="41">
        <f>IF(H27=5,Pondération!B$7*(A27-E27),0)</f>
        <v>0</v>
      </c>
      <c r="L27" s="41">
        <f>IF(I27=5,Pondération!B$7*(B27-D27),IF(I27=4,Pondération!B$6*(B27-D27),0))</f>
        <v>0</v>
      </c>
      <c r="M27" s="41">
        <f>IF(H27=1,Pondération!B$3*(A27-E27),IF(H27=2,Pondération!B$4*(A27-E27),IF(H27=3,Pondération!B$5*(A27-E27),IF(H27=4,Pondération!B$6*(A27-E27),IF(H27=5,Pondération!B$7*(A27-E27),0)))))</f>
        <v>0</v>
      </c>
      <c r="N27" s="41">
        <f t="shared" si="0"/>
        <v>0</v>
      </c>
      <c r="O27" s="41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41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41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41">
        <f>IF(I28=1,Pondération!B$3*(B28-D28),IF(I28=2,Pondération!B$4*(B28-D28),IF(I28=3,Pondération!B$5*(B28-D28),IF(I28=4,Pondération!B$6*(B28-D28),IF(I28=5,Pondération!B$7*(B28-D28),0)))))</f>
        <v>0</v>
      </c>
      <c r="K28" s="41">
        <f>IF(H28=5,Pondération!B$7*(A28-E28),0)</f>
        <v>0</v>
      </c>
      <c r="L28" s="41">
        <f>IF(I28=5,Pondération!B$7*(B28-D28),IF(I28=4,Pondération!B$6*(B28-D28),0))</f>
        <v>0</v>
      </c>
      <c r="M28" s="41">
        <f>IF(H28=1,Pondération!B$3*(A28-E28),IF(H28=2,Pondération!B$4*(A28-E28),IF(H28=3,Pondération!B$5*(A28-E28),IF(H28=4,Pondération!B$6*(A28-E28),IF(H28=5,Pondération!B$7*(A28-E28),0)))))</f>
        <v>0</v>
      </c>
      <c r="N28" s="41">
        <f t="shared" si="0"/>
        <v>0</v>
      </c>
      <c r="O28" s="41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41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41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41">
        <f>IF(I29=1,Pondération!B$3*(B29-D29),IF(I29=2,Pondération!B$4*(B29-D29),IF(I29=3,Pondération!B$5*(B29-D29),IF(I29=4,Pondération!B$6*(B29-D29),IF(I29=5,Pondération!B$7*(B29-D29),0)))))</f>
        <v>0</v>
      </c>
      <c r="K29" s="41">
        <f>IF(H29=5,Pondération!B$7*(A29-E29),0)</f>
        <v>0</v>
      </c>
      <c r="L29" s="41">
        <f>IF(I29=5,Pondération!B$7*(B29-D29),IF(I29=4,Pondération!B$6*(B29-D29),0))</f>
        <v>0</v>
      </c>
      <c r="M29" s="41">
        <f>IF(H29=1,Pondération!B$3*(A29-E29),IF(H29=2,Pondération!B$4*(A29-E29),IF(H29=3,Pondération!B$5*(A29-E29),IF(H29=4,Pondération!B$6*(A29-E29),IF(H29=5,Pondération!B$7*(A29-E29),0)))))</f>
        <v>0</v>
      </c>
      <c r="N29" s="41">
        <f t="shared" si="0"/>
        <v>0</v>
      </c>
      <c r="O29" s="41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41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41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41">
        <f>IF(I30=1,Pondération!B$3*(B30-D30),IF(I30=2,Pondération!B$4*(B30-D30),IF(I30=3,Pondération!B$5*(B30-D30),IF(I30=4,Pondération!B$6*(B30-D30),IF(I30=5,Pondération!B$7*(B30-D30),0)))))</f>
        <v>0</v>
      </c>
      <c r="K30" s="41">
        <f>IF(H30=5,Pondération!B$7*(A30-E30),0)</f>
        <v>0</v>
      </c>
      <c r="L30" s="41">
        <f>IF(I30=5,Pondération!B$7*(B30-D30),IF(I30=4,Pondération!B$6*(B30-D30),0))</f>
        <v>0</v>
      </c>
      <c r="M30" s="41">
        <f>IF(H30=1,Pondération!B$3*(A30-E30),IF(H30=2,Pondération!B$4*(A30-E30),IF(H30=3,Pondération!B$5*(A30-E30),IF(H30=4,Pondération!B$6*(A30-E30),IF(H30=5,Pondération!B$7*(A30-E30),0)))))</f>
        <v>0</v>
      </c>
      <c r="N30" s="41">
        <f t="shared" si="0"/>
        <v>0</v>
      </c>
      <c r="O30" s="41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41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41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41">
        <f>IF(I31=1,Pondération!B$3*(B31-D31),IF(I31=2,Pondération!B$4*(B31-D31),IF(I31=3,Pondération!B$5*(B31-D31),IF(I31=4,Pondération!B$6*(B31-D31),IF(I31=5,Pondération!B$7*(B31-D31),0)))))</f>
        <v>0</v>
      </c>
      <c r="K31" s="41">
        <f>IF(H31=5,Pondération!B$7*(A31-E31),0)</f>
        <v>0</v>
      </c>
      <c r="L31" s="41">
        <f>IF(I31=5,Pondération!B$7*(B31-D31),IF(I31=4,Pondération!B$6*(B31-D31),0))</f>
        <v>0</v>
      </c>
      <c r="M31" s="41">
        <f>IF(H31=1,Pondération!B$3*(A31-E31),IF(H31=2,Pondération!B$4*(A31-E31),IF(H31=3,Pondération!B$5*(A31-E31),IF(H31=4,Pondération!B$6*(A31-E31),IF(H31=5,Pondération!B$7*(A31-E31),0)))))</f>
        <v>0</v>
      </c>
      <c r="N31" s="41">
        <f t="shared" si="0"/>
        <v>0</v>
      </c>
      <c r="O31" s="41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41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41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41">
        <f>IF(I32=1,Pondération!B$3*(B32-D32),IF(I32=2,Pondération!B$4*(B32-D32),IF(I32=3,Pondération!B$5*(B32-D32),IF(I32=4,Pondération!B$6*(B32-D32),IF(I32=5,Pondération!B$7*(B32-D32),0)))))</f>
        <v>0</v>
      </c>
      <c r="K32" s="41">
        <f>IF(H32=5,Pondération!B$7*(A32-E32),0)</f>
        <v>0</v>
      </c>
      <c r="L32" s="41">
        <f>IF(I32=5,Pondération!B$7*(B32-D32),IF(I32=4,Pondération!B$6*(B32-D32),0))</f>
        <v>0</v>
      </c>
      <c r="M32" s="41">
        <f>IF(H32=1,Pondération!B$3*(A32-E32),IF(H32=2,Pondération!B$4*(A32-E32),IF(H32=3,Pondération!B$5*(A32-E32),IF(H32=4,Pondération!B$6*(A32-E32),IF(H32=5,Pondération!B$7*(A32-E32),0)))))</f>
        <v>0</v>
      </c>
      <c r="N32" s="41">
        <f t="shared" si="0"/>
        <v>0</v>
      </c>
      <c r="O32" s="41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41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41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41">
        <f>IF(I33=1,Pondération!B$3*(B33-D33),IF(I33=2,Pondération!B$4*(B33-D33),IF(I33=3,Pondération!B$5*(B33-D33),IF(I33=4,Pondération!B$6*(B33-D33),IF(I33=5,Pondération!B$7*(B33-D33),0)))))</f>
        <v>0</v>
      </c>
      <c r="K33" s="41">
        <f>IF(H33=5,Pondération!B$7*(A33-E33),0)</f>
        <v>0</v>
      </c>
      <c r="L33" s="41">
        <f>IF(I33=5,Pondération!B$7*(B33-D33),IF(I33=4,Pondération!B$6*(B33-D33),0))</f>
        <v>0</v>
      </c>
      <c r="M33" s="41">
        <f>IF(H33=1,Pondération!B$3*(A33-E33),IF(H33=2,Pondération!B$4*(A33-E33),IF(H33=3,Pondération!B$5*(A33-E33),IF(H33=4,Pondération!B$6*(A33-E33),IF(H33=5,Pondération!B$7*(A33-E33),0)))))</f>
        <v>0</v>
      </c>
      <c r="N33" s="41">
        <f t="shared" si="0"/>
        <v>0</v>
      </c>
      <c r="O33" s="41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41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41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41">
        <f>IF(I34=1,Pondération!B$3*(B34-D34),IF(I34=2,Pondération!B$4*(B34-D34),IF(I34=3,Pondération!B$5*(B34-D34),IF(I34=4,Pondération!B$6*(B34-D34),IF(I34=5,Pondération!B$7*(B34-D34),0)))))</f>
        <v>0</v>
      </c>
      <c r="K34" s="41">
        <f>IF(H34=5,Pondération!B$7*(A34-E34),0)</f>
        <v>0</v>
      </c>
      <c r="L34" s="41">
        <f>IF(I34=5,Pondération!B$7*(B34-D34),IF(I34=4,Pondération!B$6*(B34-D34),0))</f>
        <v>0</v>
      </c>
      <c r="M34" s="41">
        <f>IF(H34=1,Pondération!B$3*(A34-E34),IF(H34=2,Pondération!B$4*(A34-E34),IF(H34=3,Pondération!B$5*(A34-E34),IF(H34=4,Pondération!B$6*(A34-E34),IF(H34=5,Pondération!B$7*(A34-E34),0)))))</f>
        <v>0</v>
      </c>
      <c r="N34" s="41">
        <f t="shared" si="0"/>
        <v>0</v>
      </c>
      <c r="O34" s="41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41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41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41">
        <f>IF(I35=1,Pondération!B$3*(B35-D35),IF(I35=2,Pondération!B$4*(B35-D35),IF(I35=3,Pondération!B$5*(B35-D35),IF(I35=4,Pondération!B$6*(B35-D35),IF(I35=5,Pondération!B$7*(B35-D35),0)))))</f>
        <v>0</v>
      </c>
      <c r="K35" s="41">
        <f>IF(H35=5,Pondération!B$7*(A35-E35),0)</f>
        <v>0</v>
      </c>
      <c r="L35" s="41">
        <f>IF(I35=5,Pondération!B$7*(B35-D35),IF(I35=4,Pondération!B$6*(B35-D35),0))</f>
        <v>0</v>
      </c>
      <c r="M35" s="41">
        <f>IF(H35=1,Pondération!B$3*(A35-E35),IF(H35=2,Pondération!B$4*(A35-E35),IF(H35=3,Pondération!B$5*(A35-E35),IF(H35=4,Pondération!B$6*(A35-E35),IF(H35=5,Pondération!B$7*(A35-E35),0)))))</f>
        <v>0</v>
      </c>
      <c r="N35" s="41">
        <f t="shared" si="0"/>
        <v>0</v>
      </c>
      <c r="O35" s="41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41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41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41">
        <f>IF(I36=1,Pondération!B$3*(B36-D36),IF(I36=2,Pondération!B$4*(B36-D36),IF(I36=3,Pondération!B$5*(B36-D36),IF(I36=4,Pondération!B$6*(B36-D36),IF(I36=5,Pondération!B$7*(B36-D36),0)))))</f>
        <v>0</v>
      </c>
      <c r="K36" s="41">
        <f>IF(H36=5,Pondération!B$7*(A36-E36),0)</f>
        <v>0</v>
      </c>
      <c r="L36" s="41">
        <f>IF(I36=5,Pondération!B$7*(B36-D36),IF(I36=4,Pondération!B$6*(B36-D36),0))</f>
        <v>0</v>
      </c>
      <c r="M36" s="41">
        <f>IF(H36=1,Pondération!B$3*(A36-E36),IF(H36=2,Pondération!B$4*(A36-E36),IF(H36=3,Pondération!B$5*(A36-E36),IF(H36=4,Pondération!B$6*(A36-E36),IF(H36=5,Pondération!B$7*(A36-E36),0)))))</f>
        <v>0</v>
      </c>
      <c r="N36" s="41">
        <f t="shared" si="0"/>
        <v>0</v>
      </c>
      <c r="O36" s="41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41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41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41">
        <f>IF(I37=1,Pondération!B$3*(B37-D37),IF(I37=2,Pondération!B$4*(B37-D37),IF(I37=3,Pondération!B$5*(B37-D37),IF(I37=4,Pondération!B$6*(B37-D37),IF(I37=5,Pondération!B$7*(B37-D37),0)))))</f>
        <v>0</v>
      </c>
      <c r="K37" s="41">
        <f>IF(H37=5,Pondération!B$7*(A37-E37),0)</f>
        <v>0</v>
      </c>
      <c r="L37" s="41">
        <f>IF(I37=5,Pondération!B$7*(B37-D37),IF(I37=4,Pondération!B$6*(B37-D37),0))</f>
        <v>0</v>
      </c>
      <c r="M37" s="41">
        <f>IF(H37=1,Pondération!B$3*(A37-E37),IF(H37=2,Pondération!B$4*(A37-E37),IF(H37=3,Pondération!B$5*(A37-E37),IF(H37=4,Pondération!B$6*(A37-E37),IF(H37=5,Pondération!B$7*(A37-E37),0)))))</f>
        <v>0</v>
      </c>
      <c r="N37" s="41">
        <f t="shared" si="0"/>
        <v>0</v>
      </c>
      <c r="O37" s="41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41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41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41">
        <f>IF(I38=1,Pondération!B$3*(B38-D38),IF(I38=2,Pondération!B$4*(B38-D38),IF(I38=3,Pondération!B$5*(B38-D38),IF(I38=4,Pondération!B$6*(B38-D38),IF(I38=5,Pondération!B$7*(B38-D38),0)))))</f>
        <v>0</v>
      </c>
      <c r="K38" s="41">
        <f>IF(H38=5,Pondération!B$7*(A38-E38),0)</f>
        <v>0</v>
      </c>
      <c r="L38" s="41">
        <f>IF(I38=5,Pondération!B$7*(B38-D38),IF(I38=4,Pondération!B$6*(B38-D38),0))</f>
        <v>0</v>
      </c>
      <c r="M38" s="41">
        <f>IF(H38=1,Pondération!B$3*(A38-E38),IF(H38=2,Pondération!B$4*(A38-E38),IF(H38=3,Pondération!B$5*(A38-E38),IF(H38=4,Pondération!B$6*(A38-E38),IF(H38=5,Pondération!B$7*(A38-E38),0)))))</f>
        <v>0</v>
      </c>
      <c r="N38" s="41">
        <f t="shared" si="0"/>
        <v>0</v>
      </c>
      <c r="O38" s="41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41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41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41">
        <f>IF(I39=1,Pondération!B$3*(B39-D39),IF(I39=2,Pondération!B$4*(B39-D39),IF(I39=3,Pondération!B$5*(B39-D39),IF(I39=4,Pondération!B$6*(B39-D39),IF(I39=5,Pondération!B$7*(B39-D39),0)))))</f>
        <v>0</v>
      </c>
      <c r="K39" s="41">
        <f>IF(H39=5,Pondération!B$7*(A39-E39),0)</f>
        <v>0</v>
      </c>
      <c r="L39" s="41">
        <f>IF(I39=5,Pondération!B$7*(B39-D39),IF(I39=4,Pondération!B$6*(B39-D39),0))</f>
        <v>0</v>
      </c>
      <c r="M39" s="41">
        <f>IF(H39=1,Pondération!B$3*(A39-E39),IF(H39=2,Pondération!B$4*(A39-E39),IF(H39=3,Pondération!B$5*(A39-E39),IF(H39=4,Pondération!B$6*(A39-E39),IF(H39=5,Pondération!B$7*(A39-E39),0)))))</f>
        <v>0</v>
      </c>
      <c r="N39" s="41">
        <f t="shared" si="0"/>
        <v>0</v>
      </c>
      <c r="O39" s="41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41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41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41">
        <f>IF(I40=1,Pondération!B$3*(B40-D40),IF(I40=2,Pondération!B$4*(B40-D40),IF(I40=3,Pondération!B$5*(B40-D40),IF(I40=4,Pondération!B$6*(B40-D40),IF(I40=5,Pondération!B$7*(B40-D40),0)))))</f>
        <v>0</v>
      </c>
      <c r="K40" s="41">
        <f>IF(H40=5,Pondération!B$7*(A40-E40),0)</f>
        <v>0</v>
      </c>
      <c r="L40" s="41">
        <f>IF(I40=5,Pondération!B$7*(B40-D40),IF(I40=4,Pondération!B$6*(B40-D40),0))</f>
        <v>0</v>
      </c>
      <c r="M40" s="41">
        <f>IF(H40=1,Pondération!B$3*(A40-E40),IF(H40=2,Pondération!B$4*(A40-E40),IF(H40=3,Pondération!B$5*(A40-E40),IF(H40=4,Pondération!B$6*(A40-E40),IF(H40=5,Pondération!B$7*(A40-E40),0)))))</f>
        <v>0</v>
      </c>
      <c r="N40" s="41">
        <f t="shared" si="0"/>
        <v>0</v>
      </c>
      <c r="O40" s="41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41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41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41">
        <f>IF(I41=1,Pondération!B$3*(B41-D41),IF(I41=2,Pondération!B$4*(B41-D41),IF(I41=3,Pondération!B$5*(B41-D41),IF(I41=4,Pondération!B$6*(B41-D41),IF(I41=5,Pondération!B$7*(B41-D41),0)))))</f>
        <v>0</v>
      </c>
      <c r="K41" s="41">
        <f>IF(H41=5,Pondération!B$7*(A41-E41),0)</f>
        <v>0</v>
      </c>
      <c r="L41" s="41">
        <f>IF(I41=5,Pondération!B$7*(B41-D41),IF(I41=4,Pondération!B$6*(B41-D41),0))</f>
        <v>0</v>
      </c>
      <c r="M41" s="41">
        <f>IF(H41=1,Pondération!B$3*(A41-E41),IF(H41=2,Pondération!B$4*(A41-E41),IF(H41=3,Pondération!B$5*(A41-E41),IF(H41=4,Pondération!B$6*(A41-E41),IF(H41=5,Pondération!B$7*(A41-E41),0)))))</f>
        <v>0</v>
      </c>
      <c r="N41" s="41">
        <f t="shared" si="0"/>
        <v>0</v>
      </c>
      <c r="O41" s="41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41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41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41">
        <f>IF(I42=1,Pondération!B$3*(B42-D42),IF(I42=2,Pondération!B$4*(B42-D42),IF(I42=3,Pondération!B$5*(B42-D42),IF(I42=4,Pondération!B$6*(B42-D42),IF(I42=5,Pondération!B$7*(B42-D42),0)))))</f>
        <v>0</v>
      </c>
      <c r="K42" s="41">
        <f>IF(H42=5,Pondération!B$7*(A42-E42),0)</f>
        <v>0</v>
      </c>
      <c r="L42" s="41">
        <f>IF(I42=5,Pondération!B$7*(B42-D42),IF(I42=4,Pondération!B$6*(B42-D42),0))</f>
        <v>0</v>
      </c>
      <c r="M42" s="41">
        <f>IF(H42=1,Pondération!B$3*(A42-E42),IF(H42=2,Pondération!B$4*(A42-E42),IF(H42=3,Pondération!B$5*(A42-E42),IF(H42=4,Pondération!B$6*(A42-E42),IF(H42=5,Pondération!B$7*(A42-E42),0)))))</f>
        <v>0</v>
      </c>
      <c r="N42" s="41">
        <f t="shared" si="0"/>
        <v>0</v>
      </c>
      <c r="O42" s="41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41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41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41">
        <f>IF(I43=1,Pondération!B$3*(B43-D43),IF(I43=2,Pondération!B$4*(B43-D43),IF(I43=3,Pondération!B$5*(B43-D43),IF(I43=4,Pondération!B$6*(B43-D43),IF(I43=5,Pondération!B$7*(B43-D43),0)))))</f>
        <v>0</v>
      </c>
      <c r="K43" s="41">
        <f>IF(H43=5,Pondération!B$7*(A43-E43),0)</f>
        <v>0</v>
      </c>
      <c r="L43" s="41">
        <f>IF(I43=5,Pondération!B$7*(B43-D43),IF(I43=4,Pondération!B$6*(B43-D43),0))</f>
        <v>0</v>
      </c>
      <c r="M43" s="41">
        <f>IF(H43=1,Pondération!B$3*(A43-E43),IF(H43=2,Pondération!B$4*(A43-E43),IF(H43=3,Pondération!B$5*(A43-E43),IF(H43=4,Pondération!B$6*(A43-E43),IF(H43=5,Pondération!B$7*(A43-E43),0)))))</f>
        <v>0</v>
      </c>
      <c r="N43" s="41">
        <f t="shared" si="0"/>
        <v>0</v>
      </c>
      <c r="O43" s="41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41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41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41">
        <f>IF(I44=1,Pondération!B$3*(B44-D44),IF(I44=2,Pondération!B$4*(B44-D44),IF(I44=3,Pondération!B$5*(B44-D44),IF(I44=4,Pondération!B$6*(B44-D44),IF(I44=5,Pondération!B$7*(B44-D44),0)))))</f>
        <v>0</v>
      </c>
      <c r="K44" s="41">
        <f>IF(H44=5,Pondération!B$7*(A44-E44),0)</f>
        <v>0</v>
      </c>
      <c r="L44" s="41">
        <f>IF(I44=5,Pondération!B$7*(B44-D44),IF(I44=4,Pondération!B$6*(B44-D44),0))</f>
        <v>0</v>
      </c>
      <c r="M44" s="41">
        <f>IF(H44=1,Pondération!B$3*(A44-E44),IF(H44=2,Pondération!B$4*(A44-E44),IF(H44=3,Pondération!B$5*(A44-E44),IF(H44=4,Pondération!B$6*(A44-E44),IF(H44=5,Pondération!B$7*(A44-E44),0)))))</f>
        <v>0</v>
      </c>
      <c r="N44" s="41">
        <f t="shared" si="0"/>
        <v>0</v>
      </c>
      <c r="O44" s="41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41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41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41">
        <f>IF(I45=1,Pondération!B$3*(B45-D45),IF(I45=2,Pondération!B$4*(B45-D45),IF(I45=3,Pondération!B$5*(B45-D45),IF(I45=4,Pondération!B$6*(B45-D45),IF(I45=5,Pondération!B$7*(B45-D45),0)))))</f>
        <v>0</v>
      </c>
      <c r="K45" s="41">
        <f>IF(H45=5,Pondération!B$7*(A45-E45),0)</f>
        <v>0</v>
      </c>
      <c r="L45" s="41">
        <f>IF(I45=5,Pondération!B$7*(B45-D45),IF(I45=4,Pondération!B$6*(B45-D45),0))</f>
        <v>0</v>
      </c>
      <c r="M45" s="41">
        <f>IF(H45=1,Pondération!B$3*(A45-E45),IF(H45=2,Pondération!B$4*(A45-E45),IF(H45=3,Pondération!B$5*(A45-E45),IF(H45=4,Pondération!B$6*(A45-E45),IF(H45=5,Pondération!B$7*(A45-E45),0)))))</f>
        <v>0</v>
      </c>
      <c r="N45" s="41">
        <f t="shared" si="0"/>
        <v>0</v>
      </c>
      <c r="O45" s="41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41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41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41">
        <f>IF(I46=1,Pondération!B$3*(B46-D46),IF(I46=2,Pondération!B$4*(B46-D46),IF(I46=3,Pondération!B$5*(B46-D46),IF(I46=4,Pondération!B$6*(B46-D46),IF(I46=5,Pondération!B$7*(B46-D46),0)))))</f>
        <v>0</v>
      </c>
      <c r="K46" s="41">
        <f>IF(H46=5,Pondération!B$7*(A46-E46),0)</f>
        <v>0</v>
      </c>
      <c r="L46" s="41">
        <f>IF(I46=5,Pondération!B$7*(B46-D46),IF(I46=4,Pondération!B$6*(B46-D46),0))</f>
        <v>0</v>
      </c>
      <c r="M46" s="41">
        <f>IF(H46=1,Pondération!B$3*(A46-E46),IF(H46=2,Pondération!B$4*(A46-E46),IF(H46=3,Pondération!B$5*(A46-E46),IF(H46=4,Pondération!B$6*(A46-E46),IF(H46=5,Pondération!B$7*(A46-E46),0)))))</f>
        <v>0</v>
      </c>
      <c r="N46" s="41">
        <f t="shared" si="0"/>
        <v>0</v>
      </c>
      <c r="O46" s="41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41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41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41">
        <f>IF(I47=1,Pondération!B$3*(B47-D47),IF(I47=2,Pondération!B$4*(B47-D47),IF(I47=3,Pondération!B$5*(B47-D47),IF(I47=4,Pondération!B$6*(B47-D47),IF(I47=5,Pondération!B$7*(B47-D47),0)))))</f>
        <v>0</v>
      </c>
      <c r="K47" s="41">
        <f>IF(H47=5,Pondération!B$7*(A47-E47),0)</f>
        <v>0</v>
      </c>
      <c r="L47" s="41">
        <f>IF(I47=5,Pondération!B$7*(B47-D47),IF(I47=4,Pondération!B$6*(B47-D47),0))</f>
        <v>0</v>
      </c>
      <c r="M47" s="41">
        <f>IF(H47=1,Pondération!B$3*(A47-E47),IF(H47=2,Pondération!B$4*(A47-E47),IF(H47=3,Pondération!B$5*(A47-E47),IF(H47=4,Pondération!B$6*(A47-E47),IF(H47=5,Pondération!B$7*(A47-E47),0)))))</f>
        <v>0</v>
      </c>
      <c r="N47" s="41">
        <f t="shared" si="0"/>
        <v>0</v>
      </c>
      <c r="O47" s="41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41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41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41">
        <f>IF(I48=1,Pondération!B$3*(B48-D48),IF(I48=2,Pondération!B$4*(B48-D48),IF(I48=3,Pondération!B$5*(B48-D48),IF(I48=4,Pondération!B$6*(B48-D48),IF(I48=5,Pondération!B$7*(B48-D48),0)))))</f>
        <v>0</v>
      </c>
      <c r="K48" s="41">
        <f>IF(H48=5,Pondération!B$7*(A48-E48),0)</f>
        <v>0</v>
      </c>
      <c r="L48" s="41">
        <f>IF(I48=5,Pondération!B$7*(B48-D48),IF(I48=4,Pondération!B$6*(B48-D48),0))</f>
        <v>0</v>
      </c>
      <c r="M48" s="41">
        <f>IF(H48=1,Pondération!B$3*(A48-E48),IF(H48=2,Pondération!B$4*(A48-E48),IF(H48=3,Pondération!B$5*(A48-E48),IF(H48=4,Pondération!B$6*(A48-E48),IF(H48=5,Pondération!B$7*(A48-E48),0)))))</f>
        <v>0</v>
      </c>
      <c r="N48" s="41">
        <f t="shared" si="0"/>
        <v>0</v>
      </c>
      <c r="O48" s="41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41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41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41">
        <f>IF(I49=1,Pondération!B$3*(B49-D49),IF(I49=2,Pondération!B$4*(B49-D49),IF(I49=3,Pondération!B$5*(B49-D49),IF(I49=4,Pondération!B$6*(B49-D49),IF(I49=5,Pondération!B$7*(B49-D49),0)))))</f>
        <v>0</v>
      </c>
      <c r="K49" s="41">
        <f>IF(H49=5,Pondération!B$7*(A49-E49),0)</f>
        <v>0</v>
      </c>
      <c r="L49" s="41">
        <f>IF(I49=5,Pondération!B$7*(B49-D49),IF(I49=4,Pondération!B$6*(B49-D49),0))</f>
        <v>0</v>
      </c>
      <c r="M49" s="41">
        <f>IF(H49=1,Pondération!B$3*(A49-E49),IF(H49=2,Pondération!B$4*(A49-E49),IF(H49=3,Pondération!B$5*(A49-E49),IF(H49=4,Pondération!B$6*(A49-E49),IF(H49=5,Pondération!B$7*(A49-E49),0)))))</f>
        <v>0</v>
      </c>
      <c r="N49" s="41">
        <f t="shared" si="0"/>
        <v>0</v>
      </c>
      <c r="O49" s="41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41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41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41">
        <f>IF(I50=1,Pondération!B$3*(B50-D50),IF(I50=2,Pondération!B$4*(B50-D50),IF(I50=3,Pondération!B$5*(B50-D50),IF(I50=4,Pondération!B$6*(B50-D50),IF(I50=5,Pondération!B$7*(B50-D50),0)))))</f>
        <v>0</v>
      </c>
      <c r="K50" s="41">
        <f>IF(H50=5,Pondération!B$7*(A50-E50),0)</f>
        <v>0</v>
      </c>
      <c r="L50" s="41">
        <f>IF(I50=5,Pondération!B$7*(B50-D50),IF(I50=4,Pondération!B$6*(B50-D50),0))</f>
        <v>0</v>
      </c>
      <c r="M50" s="41">
        <f>IF(H50=1,Pondération!B$3*(A50-E50),IF(H50=2,Pondération!B$4*(A50-E50),IF(H50=3,Pondération!B$5*(A50-E50),IF(H50=4,Pondération!B$6*(A50-E50),IF(H50=5,Pondération!B$7*(A50-E50),0)))))</f>
        <v>0</v>
      </c>
      <c r="N50" s="41">
        <f t="shared" si="0"/>
        <v>0</v>
      </c>
      <c r="O50" s="41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41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41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41">
        <f>IF(I51=1,Pondération!B$3*(B51-D51),IF(I51=2,Pondération!B$4*(B51-D51),IF(I51=3,Pondération!B$5*(B51-D51),IF(I51=4,Pondération!B$6*(B51-D51),IF(I51=5,Pondération!B$7*(B51-D51),0)))))</f>
        <v>0</v>
      </c>
      <c r="K51" s="41">
        <f>IF(H51=5,Pondération!B$7*(A51-E51),0)</f>
        <v>0</v>
      </c>
      <c r="L51" s="41">
        <f>IF(I51=5,Pondération!B$7*(B51-D51),IF(I51=4,Pondération!B$6*(B51-D51),0))</f>
        <v>0</v>
      </c>
      <c r="M51" s="41">
        <f>IF(H51=1,Pondération!B$3*(A51-E51),IF(H51=2,Pondération!B$4*(A51-E51),IF(H51=3,Pondération!B$5*(A51-E51),IF(H51=4,Pondération!B$6*(A51-E51),IF(H51=5,Pondération!B$7*(A51-E51),0)))))</f>
        <v>0</v>
      </c>
      <c r="N51" s="41">
        <f t="shared" si="0"/>
        <v>0</v>
      </c>
      <c r="O51" s="41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41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41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41">
        <f>IF(I52=1,Pondération!B$3*(B52-D52),IF(I52=2,Pondération!B$4*(B52-D52),IF(I52=3,Pondération!B$5*(B52-D52),IF(I52=4,Pondération!B$6*(B52-D52),IF(I52=5,Pondération!B$7*(B52-D52),0)))))</f>
        <v>0</v>
      </c>
      <c r="K52" s="41">
        <f>IF(H52=5,Pondération!B$7*(A52-E52),0)</f>
        <v>0</v>
      </c>
      <c r="L52" s="41">
        <f>IF(I52=5,Pondération!B$7*(B52-D52),IF(I52=4,Pondération!B$6*(B52-D52),0))</f>
        <v>0</v>
      </c>
      <c r="M52" s="41">
        <f>IF(H52=1,Pondération!B$3*(A52-E52),IF(H52=2,Pondération!B$4*(A52-E52),IF(H52=3,Pondération!B$5*(A52-E52),IF(H52=4,Pondération!B$6*(A52-E52),IF(H52=5,Pondération!B$7*(A52-E52),0)))))</f>
        <v>0</v>
      </c>
      <c r="N52" s="41">
        <f t="shared" si="0"/>
        <v>0</v>
      </c>
      <c r="O52" s="41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41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41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41">
        <f>IF(I53=1,Pondération!B$3*(B53-D53),IF(I53=2,Pondération!B$4*(B53-D53),IF(I53=3,Pondération!B$5*(B53-D53),IF(I53=4,Pondération!B$6*(B53-D53),IF(I53=5,Pondération!B$7*(B53-D53),0)))))</f>
        <v>0</v>
      </c>
      <c r="K53" s="41">
        <f>IF(H53=5,Pondération!B$7*(A53-E53),0)</f>
        <v>0</v>
      </c>
      <c r="L53" s="41">
        <f>IF(I53=5,Pondération!B$7*(B53-D53),IF(I53=4,Pondération!B$6*(B53-D53),0))</f>
        <v>0</v>
      </c>
      <c r="M53" s="41">
        <f>IF(H53=1,Pondération!B$3*(A53-E53),IF(H53=2,Pondération!B$4*(A53-E53),IF(H53=3,Pondération!B$5*(A53-E53),IF(H53=4,Pondération!B$6*(A53-E53),IF(H53=5,Pondération!B$7*(A53-E53),0)))))</f>
        <v>0</v>
      </c>
      <c r="N53" s="41">
        <f t="shared" si="0"/>
        <v>0</v>
      </c>
      <c r="O53" s="41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41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41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41">
        <f>IF(I54=1,Pondération!B$3*(B54-D54),IF(I54=2,Pondération!B$4*(B54-D54),IF(I54=3,Pondération!B$5*(B54-D54),IF(I54=4,Pondération!B$6*(B54-D54),IF(I54=5,Pondération!B$7*(B54-D54),0)))))</f>
        <v>0</v>
      </c>
      <c r="K54" s="41">
        <f>IF(H54=5,Pondération!B$7*(A54-E54),0)</f>
        <v>0</v>
      </c>
      <c r="L54" s="41">
        <f>IF(I54=5,Pondération!B$7*(B54-D54),IF(I54=4,Pondération!B$6*(B54-D54),0))</f>
        <v>0</v>
      </c>
      <c r="M54" s="41">
        <f>IF(H54=1,Pondération!B$3*(A54-E54),IF(H54=2,Pondération!B$4*(A54-E54),IF(H54=3,Pondération!B$5*(A54-E54),IF(H54=4,Pondération!B$6*(A54-E54),IF(H54=5,Pondération!B$7*(A54-E54),0)))))</f>
        <v>0</v>
      </c>
      <c r="N54" s="41">
        <f t="shared" si="0"/>
        <v>0</v>
      </c>
      <c r="O54" s="41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41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41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41">
        <f>IF(I55=1,Pondération!B$3*(B55-D55),IF(I55=2,Pondération!B$4*(B55-D55),IF(I55=3,Pondération!B$5*(B55-D55),IF(I55=4,Pondération!B$6*(B55-D55),IF(I55=5,Pondération!B$7*(B55-D55),0)))))</f>
        <v>0</v>
      </c>
      <c r="K55" s="41">
        <f>IF(H55=5,Pondération!B$7*(A55-E55),0)</f>
        <v>0</v>
      </c>
      <c r="L55" s="41">
        <f>IF(I55=5,Pondération!B$7*(B55-D55),IF(I55=4,Pondération!B$6*(B55-D55),0))</f>
        <v>0</v>
      </c>
      <c r="M55" s="41">
        <f>IF(H55=1,Pondération!B$3*(A55-E55),IF(H55=2,Pondération!B$4*(A55-E55),IF(H55=3,Pondération!B$5*(A55-E55),IF(H55=4,Pondération!B$6*(A55-E55),IF(H55=5,Pondération!B$7*(A55-E55),0)))))</f>
        <v>0</v>
      </c>
      <c r="N55" s="41">
        <f t="shared" si="0"/>
        <v>0</v>
      </c>
      <c r="O55" s="41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41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41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41">
        <f>IF(I56=1,Pondération!B$3*(B56-D56),IF(I56=2,Pondération!B$4*(B56-D56),IF(I56=3,Pondération!B$5*(B56-D56),IF(I56=4,Pondération!B$6*(B56-D56),IF(I56=5,Pondération!B$7*(B56-D56),0)))))</f>
        <v>0</v>
      </c>
      <c r="K56" s="41">
        <f>IF(H56=5,Pondération!B$7*(A56-E56),0)</f>
        <v>0</v>
      </c>
      <c r="L56" s="41">
        <f>IF(I56=5,Pondération!B$7*(B56-D56),IF(I56=4,Pondération!B$6*(B56-D56),0))</f>
        <v>0</v>
      </c>
      <c r="M56" s="41">
        <f>IF(H56=1,Pondération!B$3*(A56-E56),IF(H56=2,Pondération!B$4*(A56-E56),IF(H56=3,Pondération!B$5*(A56-E56),IF(H56=4,Pondération!B$6*(A56-E56),IF(H56=5,Pondération!B$7*(A56-E56),0)))))</f>
        <v>0</v>
      </c>
      <c r="N56" s="41">
        <f t="shared" si="0"/>
        <v>0</v>
      </c>
      <c r="O56" s="41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41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41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41">
        <f>IF(I57=1,Pondération!B$3*(B57-D57),IF(I57=2,Pondération!B$4*(B57-D57),IF(I57=3,Pondération!B$5*(B57-D57),IF(I57=4,Pondération!B$6*(B57-D57),IF(I57=5,Pondération!B$7*(B57-D57),0)))))</f>
        <v>0</v>
      </c>
      <c r="K57" s="41">
        <f>IF(H57=5,Pondération!B$7*(A57-E57),0)</f>
        <v>0</v>
      </c>
      <c r="L57" s="41">
        <f>IF(I57=5,Pondération!B$7*(B57-D57),IF(I57=4,Pondération!B$6*(B57-D57),0))</f>
        <v>0</v>
      </c>
      <c r="M57" s="41">
        <f>IF(H57=1,Pondération!B$3*(A57-E57),IF(H57=2,Pondération!B$4*(A57-E57),IF(H57=3,Pondération!B$5*(A57-E57),IF(H57=4,Pondération!B$6*(A57-E57),IF(H57=5,Pondération!B$7*(A57-E57),0)))))</f>
        <v>0</v>
      </c>
      <c r="N57" s="41">
        <f t="shared" si="0"/>
        <v>0</v>
      </c>
      <c r="O57" s="41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41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41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41">
        <f>IF(I58=1,Pondération!B$3*(B58-D58),IF(I58=2,Pondération!B$4*(B58-D58),IF(I58=3,Pondération!B$5*(B58-D58),IF(I58=4,Pondération!B$6*(B58-D58),IF(I58=5,Pondération!B$7*(B58-D58),0)))))</f>
        <v>0</v>
      </c>
      <c r="K58" s="41">
        <f>IF(H58=5,Pondération!B$7*(A58-E58),0)</f>
        <v>0</v>
      </c>
      <c r="L58" s="41">
        <f>IF(I58=5,Pondération!B$7*(B58-D58),IF(I58=4,Pondération!B$6*(B58-D58),0))</f>
        <v>0</v>
      </c>
      <c r="M58" s="41">
        <f>IF(H58=1,Pondération!B$3*(A58-E58),IF(H58=2,Pondération!B$4*(A58-E58),IF(H58=3,Pondération!B$5*(A58-E58),IF(H58=4,Pondération!B$6*(A58-E58),IF(H58=5,Pondération!B$7*(A58-E58),0)))))</f>
        <v>0</v>
      </c>
      <c r="N58" s="41">
        <f t="shared" si="0"/>
        <v>0</v>
      </c>
      <c r="O58" s="41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41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41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41">
        <f>IF(I59=1,Pondération!B$3*(B59-D59),IF(I59=2,Pondération!B$4*(B59-D59),IF(I59=3,Pondération!B$5*(B59-D59),IF(I59=4,Pondération!B$6*(B59-D59),IF(I59=5,Pondération!B$7*(B59-D59),0)))))</f>
        <v>0</v>
      </c>
      <c r="K59" s="41">
        <f>IF(H59=5,Pondération!B$7*(A59-E59),0)</f>
        <v>0</v>
      </c>
      <c r="L59" s="41">
        <f>IF(I59=5,Pondération!B$7*(B59-D59),IF(I59=4,Pondération!B$6*(B59-D59),0))</f>
        <v>0</v>
      </c>
      <c r="M59" s="41">
        <f>IF(H59=1,Pondération!B$3*(A59-E59),IF(H59=2,Pondération!B$4*(A59-E59),IF(H59=3,Pondération!B$5*(A59-E59),IF(H59=4,Pondération!B$6*(A59-E59),IF(H59=5,Pondération!B$7*(A59-E59),0)))))</f>
        <v>0</v>
      </c>
      <c r="N59" s="41">
        <f t="shared" si="0"/>
        <v>0</v>
      </c>
      <c r="O59" s="41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41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41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41">
        <f>IF(I60=1,Pondération!B$3*(B60-D60),IF(I60=2,Pondération!B$4*(B60-D60),IF(I60=3,Pondération!B$5*(B60-D60),IF(I60=4,Pondération!B$6*(B60-D60),IF(I60=5,Pondération!B$7*(B60-D60),0)))))</f>
        <v>0</v>
      </c>
      <c r="K60" s="41">
        <f>IF(H60=5,Pondération!B$7*(A60-E60),0)</f>
        <v>0</v>
      </c>
      <c r="L60" s="41">
        <f>IF(I60=5,Pondération!B$7*(B60-D60),IF(I60=4,Pondération!B$6*(B60-D60),0))</f>
        <v>0</v>
      </c>
      <c r="M60" s="41">
        <f>IF(H60=1,Pondération!B$3*(A60-E60),IF(H60=2,Pondération!B$4*(A60-E60),IF(H60=3,Pondération!B$5*(A60-E60),IF(H60=4,Pondération!B$6*(A60-E60),IF(H60=5,Pondération!B$7*(A60-E60),0)))))</f>
        <v>0</v>
      </c>
      <c r="N60" s="41">
        <f t="shared" si="0"/>
        <v>0</v>
      </c>
      <c r="O60" s="41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41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41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41">
        <f>IF(I61=1,Pondération!B$3*(B61-D61),IF(I61=2,Pondération!B$4*(B61-D61),IF(I61=3,Pondération!B$5*(B61-D61),IF(I61=4,Pondération!B$6*(B61-D61),IF(I61=5,Pondération!B$7*(B61-D61),0)))))</f>
        <v>0</v>
      </c>
      <c r="K61" s="41">
        <f>IF(H61=5,Pondération!B$7*(A61-E61),0)</f>
        <v>0</v>
      </c>
      <c r="L61" s="41">
        <f>IF(I61=5,Pondération!B$7*(B61-D61),IF(I61=4,Pondération!B$6*(B61-D61),0))</f>
        <v>0</v>
      </c>
      <c r="M61" s="41">
        <f>IF(H61=1,Pondération!B$3*(A61-E61),IF(H61=2,Pondération!B$4*(A61-E61),IF(H61=3,Pondération!B$5*(A61-E61),IF(H61=4,Pondération!B$6*(A61-E61),IF(H61=5,Pondération!B$7*(A61-E61),0)))))</f>
        <v>0</v>
      </c>
      <c r="N61" s="41">
        <f t="shared" si="0"/>
        <v>0</v>
      </c>
      <c r="O61" s="41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41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41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41">
        <f>IF(I62=1,Pondération!B$3*(B62-D62),IF(I62=2,Pondération!B$4*(B62-D62),IF(I62=3,Pondération!B$5*(B62-D62),IF(I62=4,Pondération!B$6*(B62-D62),IF(I62=5,Pondération!B$7*(B62-D62),0)))))</f>
        <v>0</v>
      </c>
      <c r="K62" s="41">
        <f>IF(H62=5,Pondération!B$7*(A62-E62),0)</f>
        <v>0</v>
      </c>
      <c r="L62" s="41">
        <f>IF(I62=5,Pondération!B$7*(B62-D62),IF(I62=4,Pondération!B$6*(B62-D62),0))</f>
        <v>0</v>
      </c>
      <c r="M62" s="41">
        <f>IF(H62=1,Pondération!B$3*(A62-E62),IF(H62=2,Pondération!B$4*(A62-E62),IF(H62=3,Pondération!B$5*(A62-E62),IF(H62=4,Pondération!B$6*(A62-E62),IF(H62=5,Pondération!B$7*(A62-E62),0)))))</f>
        <v>0</v>
      </c>
      <c r="N62" s="41">
        <f t="shared" si="0"/>
        <v>0</v>
      </c>
      <c r="O62" s="41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41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41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41">
        <f>IF(I63=1,Pondération!B$3*(B63-D63),IF(I63=2,Pondération!B$4*(B63-D63),IF(I63=3,Pondération!B$5*(B63-D63),IF(I63=4,Pondération!B$6*(B63-D63),IF(I63=5,Pondération!B$7*(B63-D63),0)))))</f>
        <v>0</v>
      </c>
      <c r="K63" s="41">
        <f>IF(H63=5,Pondération!B$7*(A63-E63),0)</f>
        <v>0</v>
      </c>
      <c r="L63" s="41">
        <f>IF(I63=5,Pondération!B$7*(B63-D63),IF(I63=4,Pondération!B$6*(B63-D63),0))</f>
        <v>0</v>
      </c>
      <c r="M63" s="41">
        <f>IF(H63=1,Pondération!B$3*(A63-E63),IF(H63=2,Pondération!B$4*(A63-E63),IF(H63=3,Pondération!B$5*(A63-E63),IF(H63=4,Pondération!B$6*(A63-E63),IF(H63=5,Pondération!B$7*(A63-E63),0)))))</f>
        <v>0</v>
      </c>
      <c r="N63" s="41">
        <f t="shared" si="0"/>
        <v>0</v>
      </c>
      <c r="O63" s="41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41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41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41">
        <f>IF(I64=1,Pondération!B$3*(B64-D64),IF(I64=2,Pondération!B$4*(B64-D64),IF(I64=3,Pondération!B$5*(B64-D64),IF(I64=4,Pondération!B$6*(B64-D64),IF(I64=5,Pondération!B$7*(B64-D64),0)))))</f>
        <v>0</v>
      </c>
      <c r="K64" s="41">
        <f>IF(H64=5,Pondération!B$7*(A64-E64),0)</f>
        <v>0</v>
      </c>
      <c r="L64" s="41">
        <f>IF(I64=5,Pondération!B$7*(B64-D64),IF(I64=4,Pondération!B$6*(B64-D64),0))</f>
        <v>0</v>
      </c>
      <c r="M64" s="41">
        <f>IF(H64=1,Pondération!B$3*(A64-E64),IF(H64=2,Pondération!B$4*(A64-E64),IF(H64=3,Pondération!B$5*(A64-E64),IF(H64=4,Pondération!B$6*(A64-E64),IF(H64=5,Pondération!B$7*(A64-E64),0)))))</f>
        <v>0</v>
      </c>
      <c r="N64" s="41">
        <f t="shared" si="0"/>
        <v>0</v>
      </c>
      <c r="O64" s="41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41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41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41">
        <f>IF(I65=1,Pondération!B$3*(B65-D65),IF(I65=2,Pondération!B$4*(B65-D65),IF(I65=3,Pondération!B$5*(B65-D65),IF(I65=4,Pondération!B$6*(B65-D65),IF(I65=5,Pondération!B$7*(B65-D65),0)))))</f>
        <v>0</v>
      </c>
      <c r="K65" s="41">
        <f>IF(H65=5,Pondération!B$7*(A65-E65),0)</f>
        <v>0</v>
      </c>
      <c r="L65" s="41">
        <f>IF(I65=5,Pondération!B$7*(B65-D65),IF(I65=4,Pondération!B$6*(B65-D65),0))</f>
        <v>0</v>
      </c>
      <c r="M65" s="41">
        <f>IF(H65=1,Pondération!B$3*(A65-E65),IF(H65=2,Pondération!B$4*(A65-E65),IF(H65=3,Pondération!B$5*(A65-E65),IF(H65=4,Pondération!B$6*(A65-E65),IF(H65=5,Pondération!B$7*(A65-E65),0)))))</f>
        <v>0</v>
      </c>
      <c r="N65" s="41">
        <f t="shared" si="0"/>
        <v>0</v>
      </c>
      <c r="O65" s="41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41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41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41">
        <f>IF(I66=1,Pondération!B$3*(B66-D66),IF(I66=2,Pondération!B$4*(B66-D66),IF(I66=3,Pondération!B$5*(B66-D66),IF(I66=4,Pondération!B$6*(B66-D66),IF(I66=5,Pondération!B$7*(B66-D66),0)))))</f>
        <v>0</v>
      </c>
      <c r="K66" s="41">
        <f>IF(H66=5,Pondération!B$7*(A66-E66),0)</f>
        <v>0</v>
      </c>
      <c r="L66" s="41">
        <f>IF(I66=5,Pondération!B$7*(B66-D66),IF(I66=4,Pondération!B$6*(B66-D66),0))</f>
        <v>0</v>
      </c>
      <c r="M66" s="41">
        <f>IF(H66=1,Pondération!B$3*(A66-E66),IF(H66=2,Pondération!B$4*(A66-E66),IF(H66=3,Pondération!B$5*(A66-E66),IF(H66=4,Pondération!B$6*(A66-E66),IF(H66=5,Pondération!B$7*(A66-E66),0)))))</f>
        <v>0</v>
      </c>
      <c r="N66" s="41">
        <f t="shared" ref="N66:N131" si="1">D66+E66-B66-A66</f>
        <v>0</v>
      </c>
      <c r="O66" s="41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41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41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41">
        <f>IF(I67=1,Pondération!B$3*(B67-D67),IF(I67=2,Pondération!B$4*(B67-D67),IF(I67=3,Pondération!B$5*(B67-D67),IF(I67=4,Pondération!B$6*(B67-D67),IF(I67=5,Pondération!B$7*(B67-D67),0)))))</f>
        <v>0</v>
      </c>
      <c r="K67" s="41">
        <f>IF(H67=5,Pondération!B$7*(A67-E67),0)</f>
        <v>0</v>
      </c>
      <c r="L67" s="41">
        <f>IF(I67=5,Pondération!B$7*(B67-D67),IF(I67=4,Pondération!B$6*(B67-D67),0))</f>
        <v>0</v>
      </c>
      <c r="M67" s="41">
        <f>IF(H67=1,Pondération!B$3*(A67-E67),IF(H67=2,Pondération!B$4*(A67-E67),IF(H67=3,Pondération!B$5*(A67-E67),IF(H67=4,Pondération!B$6*(A67-E67),IF(H67=5,Pondération!B$7*(A67-E67),0)))))</f>
        <v>0</v>
      </c>
      <c r="N67" s="41">
        <f t="shared" si="1"/>
        <v>0</v>
      </c>
      <c r="O67" s="41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41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41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41">
        <f>IF(I68=1,Pondération!B$3*(B68-D68),IF(I68=2,Pondération!B$4*(B68-D68),IF(I68=3,Pondération!B$5*(B68-D68),IF(I68=4,Pondération!B$6*(B68-D68),IF(I68=5,Pondération!B$7*(B68-D68),0)))))</f>
        <v>0</v>
      </c>
      <c r="K68" s="41">
        <f>IF(H68=5,Pondération!B$7*(A68-E68),0)</f>
        <v>0</v>
      </c>
      <c r="L68" s="41">
        <f>IF(I68=5,Pondération!B$7*(B68-D68),IF(I68=4,Pondération!B$6*(B68-D68),0))</f>
        <v>0</v>
      </c>
      <c r="M68" s="41">
        <f>IF(H68=1,Pondération!B$3*(A68-E68),IF(H68=2,Pondération!B$4*(A68-E68),IF(H68=3,Pondération!B$5*(A68-E68),IF(H68=4,Pondération!B$6*(A68-E68),IF(H68=5,Pondération!B$7*(A68-E68),0)))))</f>
        <v>0</v>
      </c>
      <c r="N68" s="41">
        <f t="shared" si="1"/>
        <v>0</v>
      </c>
      <c r="O68" s="41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41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41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41">
        <f>IF(I69=1,Pondération!B$3*(B69-D69),IF(I69=2,Pondération!B$4*(B69-D69),IF(I69=3,Pondération!B$5*(B69-D69),IF(I69=4,Pondération!B$6*(B69-D69),IF(I69=5,Pondération!B$7*(B69-D69),0)))))</f>
        <v>0</v>
      </c>
      <c r="K69" s="41">
        <f>IF(H69=5,Pondération!B$7*(A69-E69),0)</f>
        <v>0</v>
      </c>
      <c r="L69" s="41">
        <f>IF(I69=5,Pondération!B$7*(B69-D69),IF(I69=4,Pondération!B$6*(B69-D69),0))</f>
        <v>0</v>
      </c>
      <c r="M69" s="41">
        <f>IF(H69=1,Pondération!B$3*(A69-E69),IF(H69=2,Pondération!B$4*(A69-E69),IF(H69=3,Pondération!B$5*(A69-E69),IF(H69=4,Pondération!B$6*(A69-E69),IF(H69=5,Pondération!B$7*(A69-E69),0)))))</f>
        <v>0</v>
      </c>
      <c r="N69" s="41">
        <f t="shared" si="1"/>
        <v>0</v>
      </c>
      <c r="O69" s="41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41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41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41">
        <f>IF(I70=1,Pondération!B$3*(B70-D70),IF(I70=2,Pondération!B$4*(B70-D70),IF(I70=3,Pondération!B$5*(B70-D70),IF(I70=4,Pondération!B$6*(B70-D70),IF(I70=5,Pondération!B$7*(B70-D70),0)))))</f>
        <v>0</v>
      </c>
      <c r="K70" s="41">
        <f>IF(H70=5,Pondération!B$7*(A70-E70),0)</f>
        <v>0</v>
      </c>
      <c r="L70" s="41">
        <f>IF(I70=5,Pondération!B$7*(B70-D70),IF(I70=4,Pondération!B$6*(B70-D70),0))</f>
        <v>0</v>
      </c>
      <c r="M70" s="41">
        <f>IF(H70=1,Pondération!B$3*(A70-E70),IF(H70=2,Pondération!B$4*(A70-E70),IF(H70=3,Pondération!B$5*(A70-E70),IF(H70=4,Pondération!B$6*(A70-E70),IF(H70=5,Pondération!B$7*(A70-E70),0)))))</f>
        <v>0</v>
      </c>
      <c r="N70" s="41">
        <f t="shared" si="1"/>
        <v>0</v>
      </c>
      <c r="O70" s="41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41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41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41">
        <f>IF(I71=1,Pondération!B$3*(B71-D71),IF(I71=2,Pondération!B$4*(B71-D71),IF(I71=3,Pondération!B$5*(B71-D71),IF(I71=4,Pondération!B$6*(B71-D71),IF(I71=5,Pondération!B$7*(B71-D71),0)))))</f>
        <v>0</v>
      </c>
      <c r="K71" s="41">
        <f>IF(H71=5,Pondération!B$7*(A71-E71),0)</f>
        <v>0</v>
      </c>
      <c r="L71" s="41">
        <f>IF(I71=5,Pondération!B$7*(B71-D71),IF(I71=4,Pondération!B$6*(B71-D71),0))</f>
        <v>0</v>
      </c>
      <c r="M71" s="41">
        <f>IF(H71=1,Pondération!B$3*(A71-E71),IF(H71=2,Pondération!B$4*(A71-E71),IF(H71=3,Pondération!B$5*(A71-E71),IF(H71=4,Pondération!B$6*(A71-E71),IF(H71=5,Pondération!B$7*(A71-E71),0)))))</f>
        <v>0</v>
      </c>
      <c r="N71" s="41">
        <f t="shared" si="1"/>
        <v>0</v>
      </c>
      <c r="O71" s="41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41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41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41">
        <f>IF(I72=1,Pondération!B$3*(B72-D72),IF(I72=2,Pondération!B$4*(B72-D72),IF(I72=3,Pondération!B$5*(B72-D72),IF(I72=4,Pondération!B$6*(B72-D72),IF(I72=5,Pondération!B$7*(B72-D72),0)))))</f>
        <v>0</v>
      </c>
      <c r="K72" s="41">
        <f>IF(H72=5,Pondération!B$7*(A72-E72),0)</f>
        <v>0</v>
      </c>
      <c r="L72" s="41">
        <f>IF(I72=5,Pondération!B$7*(B72-D72),IF(I72=4,Pondération!B$6*(B72-D72),0))</f>
        <v>0</v>
      </c>
      <c r="M72" s="41">
        <f>IF(H72=1,Pondération!B$3*(A72-E72),IF(H72=2,Pondération!B$4*(A72-E72),IF(H72=3,Pondération!B$5*(A72-E72),IF(H72=4,Pondération!B$6*(A72-E72),IF(H72=5,Pondération!B$7*(A72-E72),0)))))</f>
        <v>0</v>
      </c>
      <c r="N72" s="41">
        <f t="shared" si="1"/>
        <v>0</v>
      </c>
      <c r="O72" s="41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41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41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41">
        <f>IF(I73=1,Pondération!B$3*(B73-D73),IF(I73=2,Pondération!B$4*(B73-D73),IF(I73=3,Pondération!B$5*(B73-D73),IF(I73=4,Pondération!B$6*(B73-D73),IF(I73=5,Pondération!B$7*(B73-D73),0)))))</f>
        <v>0</v>
      </c>
      <c r="K73" s="41">
        <f>IF(H73=5,Pondération!B$7*(A73-E73),0)</f>
        <v>0</v>
      </c>
      <c r="L73" s="41">
        <f>IF(I73=5,Pondération!B$7*(B73-D73),IF(I73=4,Pondération!B$6*(B73-D73),0))</f>
        <v>0</v>
      </c>
      <c r="M73" s="41">
        <f>IF(H73=1,Pondération!B$3*(A73-E73),IF(H73=2,Pondération!B$4*(A73-E73),IF(H73=3,Pondération!B$5*(A73-E73),IF(H73=4,Pondération!B$6*(A73-E73),IF(H73=5,Pondération!B$7*(A73-E73),0)))))</f>
        <v>0</v>
      </c>
      <c r="N73" s="41">
        <f t="shared" si="1"/>
        <v>0</v>
      </c>
      <c r="O73" s="41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41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41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41">
        <f>IF(I74=1,Pondération!B$3*(B74-D74),IF(I74=2,Pondération!B$4*(B74-D74),IF(I74=3,Pondération!B$5*(B74-D74),IF(I74=4,Pondération!B$6*(B74-D74),IF(I74=5,Pondération!B$7*(B74-D74),0)))))</f>
        <v>0</v>
      </c>
      <c r="K74" s="41">
        <f>IF(H74=5,Pondération!B$7*(A74-E74),0)</f>
        <v>0</v>
      </c>
      <c r="L74" s="41">
        <f>IF(I74=5,Pondération!B$7*(B74-D74),IF(I74=4,Pondération!B$6*(B74-D74),0))</f>
        <v>0</v>
      </c>
      <c r="M74" s="41">
        <f>IF(H74=1,Pondération!B$3*(A74-E74),IF(H74=2,Pondération!B$4*(A74-E74),IF(H74=3,Pondération!B$5*(A74-E74),IF(H74=4,Pondération!B$6*(A74-E74),IF(H74=5,Pondération!B$7*(A74-E74),0)))))</f>
        <v>0</v>
      </c>
      <c r="N74" s="41">
        <f t="shared" si="1"/>
        <v>0</v>
      </c>
      <c r="O74" s="41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41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41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41">
        <f>IF(I75=1,Pondération!B$3*(B75-D75),IF(I75=2,Pondération!B$4*(B75-D75),IF(I75=3,Pondération!B$5*(B75-D75),IF(I75=4,Pondération!B$6*(B75-D75),IF(I75=5,Pondération!B$7*(B75-D75),0)))))</f>
        <v>0</v>
      </c>
      <c r="K75" s="41">
        <f>IF(H75=5,Pondération!B$7*(A75-E75),0)</f>
        <v>0</v>
      </c>
      <c r="L75" s="41">
        <f>IF(I75=5,Pondération!B$7*(B75-D75),IF(I75=4,Pondération!B$6*(B75-D75),0))</f>
        <v>0</v>
      </c>
      <c r="M75" s="41">
        <f>IF(H75=1,Pondération!B$3*(A75-E75),IF(H75=2,Pondération!B$4*(A75-E75),IF(H75=3,Pondération!B$5*(A75-E75),IF(H75=4,Pondération!B$6*(A75-E75),IF(H75=5,Pondération!B$7*(A75-E75),0)))))</f>
        <v>0</v>
      </c>
      <c r="N75" s="41">
        <f t="shared" si="1"/>
        <v>0</v>
      </c>
      <c r="O75" s="41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41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41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41">
        <f>IF(I76=1,Pondération!B$3*(B76-D76),IF(I76=2,Pondération!B$4*(B76-D76),IF(I76=3,Pondération!B$5*(B76-D76),IF(I76=4,Pondération!B$6*(B76-D76),IF(I76=5,Pondération!B$7*(B76-D76),0)))))</f>
        <v>0</v>
      </c>
      <c r="K76" s="41">
        <f>IF(H76=5,Pondération!B$7*(A76-E76),0)</f>
        <v>0</v>
      </c>
      <c r="L76" s="41">
        <f>IF(I76=5,Pondération!B$7*(B76-D76),IF(I76=4,Pondération!B$6*(B76-D76),0))</f>
        <v>0</v>
      </c>
      <c r="M76" s="41">
        <f>IF(H76=1,Pondération!B$3*(A76-E76),IF(H76=2,Pondération!B$4*(A76-E76),IF(H76=3,Pondération!B$5*(A76-E76),IF(H76=4,Pondération!B$6*(A76-E76),IF(H76=5,Pondération!B$7*(A76-E76),0)))))</f>
        <v>0</v>
      </c>
      <c r="N76" s="41">
        <f t="shared" si="1"/>
        <v>0</v>
      </c>
      <c r="O76" s="41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41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41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41">
        <f>IF(I77=1,Pondération!B$3*(B77-D77),IF(I77=2,Pondération!B$4*(B77-D77),IF(I77=3,Pondération!B$5*(B77-D77),IF(I77=4,Pondération!B$6*(B77-D77),IF(I77=5,Pondération!B$7*(B77-D77),0)))))</f>
        <v>0</v>
      </c>
      <c r="K77" s="41">
        <f>IF(H77=5,Pondération!B$7*(A77-E77),0)</f>
        <v>0</v>
      </c>
      <c r="L77" s="41">
        <f>IF(I77=5,Pondération!B$7*(B77-D77),IF(I77=4,Pondération!B$6*(B77-D77),0))</f>
        <v>0</v>
      </c>
      <c r="M77" s="41">
        <f>IF(H77=1,Pondération!B$3*(A77-E77),IF(H77=2,Pondération!B$4*(A77-E77),IF(H77=3,Pondération!B$5*(A77-E77),IF(H77=4,Pondération!B$6*(A77-E77),IF(H77=5,Pondération!B$7*(A77-E77),0)))))</f>
        <v>0</v>
      </c>
      <c r="N77" s="41">
        <f t="shared" si="1"/>
        <v>0</v>
      </c>
      <c r="O77" s="41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41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41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41">
        <f>IF(I78=1,Pondération!B$3*(B78-D78),IF(I78=2,Pondération!B$4*(B78-D78),IF(I78=3,Pondération!B$5*(B78-D78),IF(I78=4,Pondération!B$6*(B78-D78),IF(I78=5,Pondération!B$7*(B78-D78),0)))))</f>
        <v>0</v>
      </c>
      <c r="K78" s="41">
        <f>IF(H78=5,Pondération!B$7*(A78-E78),0)</f>
        <v>0</v>
      </c>
      <c r="L78" s="41">
        <f>IF(I78=5,Pondération!B$7*(B78-D78),IF(I78=4,Pondération!B$6*(B78-D78),0))</f>
        <v>0</v>
      </c>
      <c r="M78" s="41">
        <f>IF(H78=1,Pondération!B$3*(A78-E78),IF(H78=2,Pondération!B$4*(A78-E78),IF(H78=3,Pondération!B$5*(A78-E78),IF(H78=4,Pondération!B$6*(A78-E78),IF(H78=5,Pondération!B$7*(A78-E78),0)))))</f>
        <v>0</v>
      </c>
      <c r="N78" s="41">
        <f t="shared" si="1"/>
        <v>0</v>
      </c>
      <c r="O78" s="41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41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41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41">
        <f>IF(I80=1,Pondération!B$3*(B80-D80),IF(I80=2,Pondération!B$4*(B80-D80),IF(I80=3,Pondération!B$5*(B80-D80),IF(I80=4,Pondération!B$6*(B80-D80),IF(I80=5,Pondération!B$7*(B80-D80),0)))))</f>
        <v>0</v>
      </c>
      <c r="K80" s="41">
        <f>IF(H80=5,Pondération!B$7*(A80-E80),0)</f>
        <v>0</v>
      </c>
      <c r="L80" s="41">
        <f>IF(I80=5,Pondération!B$7*(B80-D80),IF(I80=4,Pondération!B$6*(B80-D80),0))</f>
        <v>0</v>
      </c>
      <c r="M80" s="41">
        <f>IF(H80=1,Pondération!B$3*(A80-E80),IF(H80=2,Pondération!B$4*(A80-E80),IF(H80=3,Pondération!B$5*(A80-E80),IF(H80=4,Pondération!B$6*(A80-E80),IF(H80=5,Pondération!B$7*(A80-E80),0)))))</f>
        <v>0</v>
      </c>
      <c r="N80" s="41">
        <f t="shared" si="1"/>
        <v>0</v>
      </c>
      <c r="O80" s="41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41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41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41">
        <f>IF(I81=1,Pondération!B$3*(B81-D81),IF(I81=2,Pondération!B$4*(B81-D81),IF(I81=3,Pondération!B$5*(B81-D81),IF(I81=4,Pondération!B$6*(B81-D81),IF(I81=5,Pondération!B$7*(B81-D81),0)))))</f>
        <v>0</v>
      </c>
      <c r="K81" s="41">
        <f>IF(H81=5,Pondération!B$7*(A81-E81),0)</f>
        <v>0</v>
      </c>
      <c r="L81" s="41">
        <f>IF(I81=5,Pondération!B$7*(B81-D81),IF(I81=4,Pondération!B$6*(B81-D81),0))</f>
        <v>0</v>
      </c>
      <c r="M81" s="41">
        <f>IF(H81=1,Pondération!B$3*(A81-E81),IF(H81=2,Pondération!B$4*(A81-E81),IF(H81=3,Pondération!B$5*(A81-E81),IF(H81=4,Pondération!B$6*(A81-E81),IF(H81=5,Pondération!B$7*(A81-E81),0)))))</f>
        <v>0</v>
      </c>
      <c r="N81" s="41">
        <f t="shared" si="1"/>
        <v>0</v>
      </c>
      <c r="O81" s="41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41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41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41">
        <f>IF(I82=1,Pondération!B$3*(B82-D82),IF(I82=2,Pondération!B$4*(B82-D82),IF(I82=3,Pondération!B$5*(B82-D82),IF(I82=4,Pondération!B$6*(B82-D82),IF(I82=5,Pondération!B$7*(B82-D82),0)))))</f>
        <v>0</v>
      </c>
      <c r="K82" s="41">
        <f>IF(H82=5,Pondération!B$7*(A82-E82),0)</f>
        <v>0</v>
      </c>
      <c r="L82" s="41">
        <f>IF(I82=5,Pondération!B$7*(B82-D82),IF(I82=4,Pondération!B$6*(B82-D82),0))</f>
        <v>0</v>
      </c>
      <c r="M82" s="41">
        <f>IF(H82=1,Pondération!B$3*(A82-E82),IF(H82=2,Pondération!B$4*(A82-E82),IF(H82=3,Pondération!B$5*(A82-E82),IF(H82=4,Pondération!B$6*(A82-E82),IF(H82=5,Pondération!B$7*(A82-E82),0)))))</f>
        <v>0</v>
      </c>
      <c r="N82" s="41">
        <f t="shared" si="1"/>
        <v>0</v>
      </c>
      <c r="O82" s="41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41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41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41">
        <f>IF(I83=1,Pondération!B$3*(B83-D83),IF(I83=2,Pondération!B$4*(B83-D83),IF(I83=3,Pondération!B$5*(B83-D83),IF(I83=4,Pondération!B$6*(B83-D83),IF(I83=5,Pondération!B$7*(B83-D83),0)))))</f>
        <v>0</v>
      </c>
      <c r="K83" s="41">
        <f>IF(H83=5,Pondération!B$7*(A83-E83),0)</f>
        <v>0</v>
      </c>
      <c r="L83" s="41">
        <f>IF(I83=5,Pondération!B$7*(B83-D83),IF(I83=4,Pondération!B$6*(B83-D83),0))</f>
        <v>0</v>
      </c>
      <c r="M83" s="41">
        <f>IF(H83=1,Pondération!B$3*(A83-E83),IF(H83=2,Pondération!B$4*(A83-E83),IF(H83=3,Pondération!B$5*(A83-E83),IF(H83=4,Pondération!B$6*(A83-E83),IF(H83=5,Pondération!B$7*(A83-E83),0)))))</f>
        <v>0</v>
      </c>
      <c r="N83" s="41">
        <f t="shared" si="1"/>
        <v>0</v>
      </c>
      <c r="O83" s="41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41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41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41">
        <f>IF(I84=1,Pondération!B$3*(B84-D84),IF(I84=2,Pondération!B$4*(B84-D84),IF(I84=3,Pondération!B$5*(B84-D84),IF(I84=4,Pondération!B$6*(B84-D84),IF(I84=5,Pondération!B$7*(B84-D84),0)))))</f>
        <v>0</v>
      </c>
      <c r="K84" s="41">
        <f>IF(H84=5,Pondération!B$7*(A84-E84),0)</f>
        <v>0</v>
      </c>
      <c r="L84" s="41">
        <f>IF(I84=5,Pondération!B$7*(B84-D84),IF(I84=4,Pondération!B$6*(B84-D84),0))</f>
        <v>0</v>
      </c>
      <c r="M84" s="41">
        <f>IF(H84=1,Pondération!B$3*(A84-E84),IF(H84=2,Pondération!B$4*(A84-E84),IF(H84=3,Pondération!B$5*(A84-E84),IF(H84=4,Pondération!B$6*(A84-E84),IF(H84=5,Pondération!B$7*(A84-E84),0)))))</f>
        <v>0</v>
      </c>
      <c r="N84" s="41">
        <f t="shared" si="1"/>
        <v>0</v>
      </c>
      <c r="O84" s="41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41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41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41">
        <f>IF(I85=1,Pondération!B$3*(B85-D85),IF(I85=2,Pondération!B$4*(B85-D85),IF(I85=3,Pondération!B$5*(B85-D85),IF(I85=4,Pondération!B$6*(B85-D85),IF(I85=5,Pondération!B$7*(B85-D85),0)))))</f>
        <v>0</v>
      </c>
      <c r="K85" s="41">
        <f>IF(H85=5,Pondération!B$7*(A85-E85),0)</f>
        <v>0</v>
      </c>
      <c r="L85" s="41">
        <f>IF(I85=5,Pondération!B$7*(B85-D85),IF(I85=4,Pondération!B$6*(B85-D85),0))</f>
        <v>0</v>
      </c>
      <c r="M85" s="41">
        <f>IF(H85=1,Pondération!B$3*(A85-E85),IF(H85=2,Pondération!B$4*(A85-E85),IF(H85=3,Pondération!B$5*(A85-E85),IF(H85=4,Pondération!B$6*(A85-E85),IF(H85=5,Pondération!B$7*(A85-E85),0)))))</f>
        <v>0</v>
      </c>
      <c r="N85" s="41">
        <f t="shared" si="1"/>
        <v>0</v>
      </c>
      <c r="O85" s="41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41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41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41">
        <f>IF(I86=1,Pondération!B$3*(B86-D86),IF(I86=2,Pondération!B$4*(B86-D86),IF(I86=3,Pondération!B$5*(B86-D86),IF(I86=4,Pondération!B$6*(B86-D86),IF(I86=5,Pondération!B$7*(B86-D86),0)))))</f>
        <v>0</v>
      </c>
      <c r="K86" s="41">
        <f>IF(H86=5,Pondération!B$7*(A86-E86),0)</f>
        <v>0</v>
      </c>
      <c r="L86" s="41">
        <f>IF(I86=5,Pondération!B$7*(B86-D86),IF(I86=4,Pondération!B$6*(B86-D86),0))</f>
        <v>0</v>
      </c>
      <c r="M86" s="41">
        <f>IF(H86=1,Pondération!B$3*(A86-E86),IF(H86=2,Pondération!B$4*(A86-E86),IF(H86=3,Pondération!B$5*(A86-E86),IF(H86=4,Pondération!B$6*(A86-E86),IF(H86=5,Pondération!B$7*(A86-E86),0)))))</f>
        <v>0</v>
      </c>
      <c r="N86" s="41">
        <f t="shared" si="1"/>
        <v>0</v>
      </c>
      <c r="O86" s="41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41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41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41">
        <f>IF(I87=1,Pondération!B$3*(B87-D87),IF(I87=2,Pondération!B$4*(B87-D87),IF(I87=3,Pondération!B$5*(B87-D87),IF(I87=4,Pondération!B$6*(B87-D87),IF(I87=5,Pondération!B$7*(B87-D87),0)))))</f>
        <v>0</v>
      </c>
      <c r="K87" s="41">
        <f>IF(H87=5,Pondération!B$7*(A87-E87),0)</f>
        <v>0</v>
      </c>
      <c r="L87" s="41">
        <f>IF(I87=5,Pondération!B$7*(B87-D87),IF(I87=4,Pondération!B$6*(B87-D87),0))</f>
        <v>0</v>
      </c>
      <c r="M87" s="41">
        <f>IF(H87=1,Pondération!B$3*(A87-E87),IF(H87=2,Pondération!B$4*(A87-E87),IF(H87=3,Pondération!B$5*(A87-E87),IF(H87=4,Pondération!B$6*(A87-E87),IF(H87=5,Pondération!B$7*(A87-E87),0)))))</f>
        <v>0</v>
      </c>
      <c r="N87" s="41">
        <f t="shared" si="1"/>
        <v>0</v>
      </c>
      <c r="O87" s="41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41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41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41">
        <f>IF(I88=1,Pondération!B$3*(B88-D88),IF(I88=2,Pondération!B$4*(B88-D88),IF(I88=3,Pondération!B$5*(B88-D88),IF(I88=4,Pondération!B$6*(B88-D88),IF(I88=5,Pondération!B$7*(B88-D88),0)))))</f>
        <v>0</v>
      </c>
      <c r="K88" s="41">
        <f>IF(H88=5,Pondération!B$7*(A88-E88),0)</f>
        <v>0</v>
      </c>
      <c r="L88" s="41">
        <f>IF(I88=5,Pondération!B$7*(B88-D88),IF(I88=4,Pondération!B$6*(B88-D88),0))</f>
        <v>0</v>
      </c>
      <c r="M88" s="41">
        <f>IF(H88=1,Pondération!B$3*(A88-E88),IF(H88=2,Pondération!B$4*(A88-E88),IF(H88=3,Pondération!B$5*(A88-E88),IF(H88=4,Pondération!B$6*(A88-E88),IF(H88=5,Pondération!B$7*(A88-E88),0)))))</f>
        <v>0</v>
      </c>
      <c r="N88" s="41">
        <f t="shared" si="1"/>
        <v>0</v>
      </c>
      <c r="O88" s="41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41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41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41">
        <f>IF(I89=1,Pondération!B$3*(B89-D89),IF(I89=2,Pondération!B$4*(B89-D89),IF(I89=3,Pondération!B$5*(B89-D89),IF(I89=4,Pondération!B$6*(B89-D89),IF(I89=5,Pondération!B$7*(B89-D89),0)))))</f>
        <v>0</v>
      </c>
      <c r="K89" s="41">
        <f>IF(H89=5,Pondération!B$7*(A89-E89),0)</f>
        <v>0</v>
      </c>
      <c r="L89" s="41">
        <f>IF(I89=5,Pondération!B$7*(B89-D89),IF(I89=4,Pondération!B$6*(B89-D89),0))</f>
        <v>0</v>
      </c>
      <c r="M89" s="41">
        <f>IF(H89=1,Pondération!B$3*(A89-E89),IF(H89=2,Pondération!B$4*(A89-E89),IF(H89=3,Pondération!B$5*(A89-E89),IF(H89=4,Pondération!B$6*(A89-E89),IF(H89=5,Pondération!B$7*(A89-E89),0)))))</f>
        <v>0</v>
      </c>
      <c r="N89" s="41">
        <f t="shared" si="1"/>
        <v>0</v>
      </c>
      <c r="O89" s="41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41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41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41">
        <f>IF(I90=1,Pondération!B$3*(B90-D90),IF(I90=2,Pondération!B$4*(B90-D90),IF(I90=3,Pondération!B$5*(B90-D90),IF(I90=4,Pondération!B$6*(B90-D90),IF(I90=5,Pondération!B$7*(B90-D90),0)))))</f>
        <v>0</v>
      </c>
      <c r="K90" s="41">
        <f>IF(H90=5,Pondération!B$7*(A90-E90),0)</f>
        <v>0</v>
      </c>
      <c r="L90" s="41">
        <f>IF(I90=5,Pondération!B$7*(B90-D90),IF(I90=4,Pondération!B$6*(B90-D90),0))</f>
        <v>0</v>
      </c>
      <c r="M90" s="41">
        <f>IF(H90=1,Pondération!B$3*(A90-E90),IF(H90=2,Pondération!B$4*(A90-E90),IF(H90=3,Pondération!B$5*(A90-E90),IF(H90=4,Pondération!B$6*(A90-E90),IF(H90=5,Pondération!B$7*(A90-E90),0)))))</f>
        <v>0</v>
      </c>
      <c r="N90" s="41">
        <f t="shared" si="1"/>
        <v>0</v>
      </c>
      <c r="O90" s="41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41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41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41">
        <f>IF(I91=1,Pondération!B$3*(B91-D91),IF(I91=2,Pondération!B$4*(B91-D91),IF(I91=3,Pondération!B$5*(B91-D91),IF(I91=4,Pondération!B$6*(B91-D91),IF(I91=5,Pondération!B$7*(B91-D91),0)))))</f>
        <v>0</v>
      </c>
      <c r="K91" s="41">
        <f>IF(H91=5,Pondération!B$7*(A91-E91),0)</f>
        <v>0</v>
      </c>
      <c r="L91" s="41">
        <f>IF(I91=5,Pondération!B$7*(B91-D91),IF(I91=4,Pondération!B$6*(B91-D91),0))</f>
        <v>0</v>
      </c>
      <c r="M91" s="41">
        <f>IF(H91=1,Pondération!B$3*(A91-E91),IF(H91=2,Pondération!B$4*(A91-E91),IF(H91=3,Pondération!B$5*(A91-E91),IF(H91=4,Pondération!B$6*(A91-E91),IF(H91=5,Pondération!B$7*(A91-E91),0)))))</f>
        <v>0</v>
      </c>
      <c r="N91" s="41">
        <f t="shared" si="1"/>
        <v>0</v>
      </c>
      <c r="O91" s="41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41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41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41">
        <f>IF(I92=1,Pondération!B$3*(B92-D92),IF(I92=2,Pondération!B$4*(B92-D92),IF(I92=3,Pondération!B$5*(B92-D92),IF(I92=4,Pondération!B$6*(B92-D92),IF(I92=5,Pondération!B$7*(B92-D92),0)))))</f>
        <v>0</v>
      </c>
      <c r="K92" s="41">
        <f>IF(H92=5,Pondération!B$7*(A92-E92),0)</f>
        <v>0</v>
      </c>
      <c r="L92" s="41">
        <f>IF(I92=5,Pondération!B$7*(B92-D92),IF(I92=4,Pondération!B$6*(B92-D92),0))</f>
        <v>0</v>
      </c>
      <c r="M92" s="41">
        <f>IF(H92=1,Pondération!B$3*(A92-E92),IF(H92=2,Pondération!B$4*(A92-E92),IF(H92=3,Pondération!B$5*(A92-E92),IF(H92=4,Pondération!B$6*(A92-E92),IF(H92=5,Pondération!B$7*(A92-E92),0)))))</f>
        <v>0</v>
      </c>
      <c r="N92" s="41">
        <f t="shared" si="1"/>
        <v>0</v>
      </c>
      <c r="O92" s="41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41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41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41">
        <f>IF(I93=1,Pondération!B$3*(B93-D93),IF(I93=2,Pondération!B$4*(B93-D93),IF(I93=3,Pondération!B$5*(B93-D93),IF(I93=4,Pondération!B$6*(B93-D93),IF(I93=5,Pondération!B$7*(B93-D93),0)))))</f>
        <v>0</v>
      </c>
      <c r="K93" s="41">
        <f>IF(H93=5,Pondération!B$7*(A93-E93),0)</f>
        <v>0</v>
      </c>
      <c r="L93" s="41">
        <f>IF(I93=5,Pondération!B$7*(B93-D93),IF(I93=4,Pondération!B$6*(B93-D93),0))</f>
        <v>0</v>
      </c>
      <c r="M93" s="41">
        <f>IF(H93=1,Pondération!B$3*(A93-E93),IF(H93=2,Pondération!B$4*(A93-E93),IF(H93=3,Pondération!B$5*(A93-E93),IF(H93=4,Pondération!B$6*(A93-E93),IF(H93=5,Pondération!B$7*(A93-E93),0)))))</f>
        <v>0</v>
      </c>
      <c r="N93" s="41">
        <f t="shared" si="1"/>
        <v>0</v>
      </c>
      <c r="O93" s="41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41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41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41">
        <f>IF(I94=1,Pondération!B$3*(B94-D94),IF(I94=2,Pondération!B$4*(B94-D94),IF(I94=3,Pondération!B$5*(B94-D94),IF(I94=4,Pondération!B$6*(B94-D94),IF(I94=5,Pondération!B$7*(B94-D94),0)))))</f>
        <v>0</v>
      </c>
      <c r="K94" s="41">
        <f>IF(H94=5,Pondération!B$7*(A94-E94),0)</f>
        <v>0</v>
      </c>
      <c r="L94" s="41">
        <f>IF(I94=5,Pondération!B$7*(B94-D94),IF(I94=4,Pondération!B$6*(B94-D94),0))</f>
        <v>0</v>
      </c>
      <c r="M94" s="41">
        <f>IF(H94=1,Pondération!B$3*(A94-E94),IF(H94=2,Pondération!B$4*(A94-E94),IF(H94=3,Pondération!B$5*(A94-E94),IF(H94=4,Pondération!B$6*(A94-E94),IF(H94=5,Pondération!B$7*(A94-E94),0)))))</f>
        <v>0</v>
      </c>
      <c r="N94" s="41">
        <f t="shared" si="1"/>
        <v>0</v>
      </c>
      <c r="O94" s="41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41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41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41">
        <f>IF(I95=1,Pondération!B$3*(B95-D95),IF(I95=2,Pondération!B$4*(B95-D95),IF(I95=3,Pondération!B$5*(B95-D95),IF(I95=4,Pondération!B$6*(B95-D95),IF(I95=5,Pondération!B$7*(B95-D95),0)))))</f>
        <v>0</v>
      </c>
      <c r="K95" s="41">
        <f>IF(H95=5,Pondération!B$7*(A95-E95),0)</f>
        <v>0</v>
      </c>
      <c r="L95" s="41">
        <f>IF(I95=5,Pondération!B$7*(B95-D95),IF(I95=4,Pondération!B$6*(B95-D95),0))</f>
        <v>0</v>
      </c>
      <c r="M95" s="41">
        <f>IF(H95=1,Pondération!B$3*(A95-E95),IF(H95=2,Pondération!B$4*(A95-E95),IF(H95=3,Pondération!B$5*(A95-E95),IF(H95=4,Pondération!B$6*(A95-E95),IF(H95=5,Pondération!B$7*(A95-E95),0)))))</f>
        <v>0</v>
      </c>
      <c r="N95" s="41">
        <f t="shared" si="1"/>
        <v>0</v>
      </c>
      <c r="O95" s="41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41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41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41">
        <f>IF(I96=1,Pondération!B$3*(B96-D96),IF(I96=2,Pondération!B$4*(B96-D96),IF(I96=3,Pondération!B$5*(B96-D96),IF(I96=4,Pondération!B$6*(B96-D96),IF(I96=5,Pondération!B$7*(B96-D96),0)))))</f>
        <v>0</v>
      </c>
      <c r="K96" s="41">
        <f>IF(H96=5,Pondération!B$7*(A96-E96),0)</f>
        <v>0</v>
      </c>
      <c r="L96" s="41">
        <f>IF(I96=5,Pondération!B$7*(B96-D96),IF(I96=4,Pondération!B$6*(B96-D96),0))</f>
        <v>0</v>
      </c>
      <c r="M96" s="41">
        <f>IF(H96=1,Pondération!B$3*(A96-E96),IF(H96=2,Pondération!B$4*(A96-E96),IF(H96=3,Pondération!B$5*(A96-E96),IF(H96=4,Pondération!B$6*(A96-E96),IF(H96=5,Pondération!B$7*(A96-E96),0)))))</f>
        <v>0</v>
      </c>
      <c r="N96" s="41">
        <f t="shared" si="1"/>
        <v>0</v>
      </c>
      <c r="O96" s="41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41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41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41">
        <f>IF(I97=1,Pondération!B$3*(B97-D97),IF(I97=2,Pondération!B$4*(B97-D97),IF(I97=3,Pondération!B$5*(B97-D97),IF(I97=4,Pondération!B$6*(B97-D97),IF(I97=5,Pondération!B$7*(B97-D97),0)))))</f>
        <v>0</v>
      </c>
      <c r="K97" s="41">
        <f>IF(H97=5,Pondération!B$7*(A97-E97),0)</f>
        <v>0</v>
      </c>
      <c r="L97" s="41">
        <f>IF(I97=5,Pondération!B$7*(B97-D97),IF(I97=4,Pondération!B$6*(B97-D97),0))</f>
        <v>0</v>
      </c>
      <c r="M97" s="41">
        <f>IF(H97=1,Pondération!B$3*(A97-E97),IF(H97=2,Pondération!B$4*(A97-E97),IF(H97=3,Pondération!B$5*(A97-E97),IF(H97=4,Pondération!B$6*(A97-E97),IF(H97=5,Pondération!B$7*(A97-E97),0)))))</f>
        <v>0</v>
      </c>
      <c r="N97" s="41">
        <f t="shared" si="1"/>
        <v>0</v>
      </c>
      <c r="O97" s="41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41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41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41">
        <f>IF(I98=1,Pondération!B$3*(B98-D98),IF(I98=2,Pondération!B$4*(B98-D98),IF(I98=3,Pondération!B$5*(B98-D98),IF(I98=4,Pondération!B$6*(B98-D98),IF(I98=5,Pondération!B$7*(B98-D98),0)))))</f>
        <v>0</v>
      </c>
      <c r="K98" s="41">
        <f>IF(H98=5,Pondération!B$7*(A98-E98),0)</f>
        <v>0</v>
      </c>
      <c r="L98" s="41">
        <f>IF(I98=5,Pondération!B$7*(B98-D98),IF(I98=4,Pondération!B$6*(B98-D98),0))</f>
        <v>0</v>
      </c>
      <c r="M98" s="41">
        <f>IF(H98=1,Pondération!B$3*(A98-E98),IF(H98=2,Pondération!B$4*(A98-E98),IF(H98=3,Pondération!B$5*(A98-E98),IF(H98=4,Pondération!B$6*(A98-E98),IF(H98=5,Pondération!B$7*(A98-E98),0)))))</f>
        <v>0</v>
      </c>
      <c r="N98" s="41">
        <f t="shared" si="1"/>
        <v>0</v>
      </c>
      <c r="O98" s="41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41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41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41">
        <f>IF(I99=1,Pondération!B$3*(B99-D99),IF(I99=2,Pondération!B$4*(B99-D99),IF(I99=3,Pondération!B$5*(B99-D99),IF(I99=4,Pondération!B$6*(B99-D99),IF(I99=5,Pondération!B$7*(B99-D99),0)))))</f>
        <v>0</v>
      </c>
      <c r="K99" s="41">
        <f>IF(H99=5,Pondération!B$7*(A99-E99),0)</f>
        <v>0</v>
      </c>
      <c r="L99" s="41">
        <f>IF(I99=5,Pondération!B$7*(B99-D99),IF(I99=4,Pondération!B$6*(B99-D99),0))</f>
        <v>0</v>
      </c>
      <c r="M99" s="41">
        <f>IF(H99=1,Pondération!B$3*(A99-E99),IF(H99=2,Pondération!B$4*(A99-E99),IF(H99=3,Pondération!B$5*(A99-E99),IF(H99=4,Pondération!B$6*(A99-E99),IF(H99=5,Pondération!B$7*(A99-E99),0)))))</f>
        <v>0</v>
      </c>
      <c r="N99" s="41">
        <f t="shared" si="1"/>
        <v>0</v>
      </c>
      <c r="O99" s="41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41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41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41">
        <f>IF(I100=1,Pondération!B$3*(B100-D100),IF(I100=2,Pondération!B$4*(B100-D100),IF(I100=3,Pondération!B$5*(B100-D100),IF(I100=4,Pondération!B$6*(B100-D100),IF(I100=5,Pondération!B$7*(B100-D100),0)))))</f>
        <v>0</v>
      </c>
      <c r="K100" s="41">
        <f>IF(H100=5,Pondération!B$7*(A100-E100),0)</f>
        <v>0</v>
      </c>
      <c r="L100" s="41">
        <f>IF(I100=5,Pondération!B$7*(B100-D100),IF(I100=4,Pondération!B$6*(B100-D100),0))</f>
        <v>0</v>
      </c>
      <c r="M100" s="41">
        <f>IF(H100=1,Pondération!B$3*(A100-E100),IF(H100=2,Pondération!B$4*(A100-E100),IF(H100=3,Pondération!B$5*(A100-E100),IF(H100=4,Pondération!B$6*(A100-E100),IF(H100=5,Pondération!B$7*(A100-E100),0)))))</f>
        <v>0</v>
      </c>
      <c r="N100" s="41">
        <f t="shared" si="1"/>
        <v>0</v>
      </c>
      <c r="O100" s="41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41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41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41">
        <f>IF(I101=1,Pondération!B$3*(B101-D101),IF(I101=2,Pondération!B$4*(B101-D101),IF(I101=3,Pondération!B$5*(B101-D101),IF(I101=4,Pondération!B$6*(B101-D101),IF(I101=5,Pondération!B$7*(B101-D101),0)))))</f>
        <v>0</v>
      </c>
      <c r="K101" s="41">
        <f>IF(H101=5,Pondération!B$7*(A101-E101),0)</f>
        <v>0</v>
      </c>
      <c r="L101" s="41">
        <f>IF(I101=5,Pondération!B$7*(B101-D101),IF(I101=4,Pondération!B$6*(B101-D101),0))</f>
        <v>0</v>
      </c>
      <c r="M101" s="41">
        <f>IF(H101=1,Pondération!B$3*(A101-E101),IF(H101=2,Pondération!B$4*(A101-E101),IF(H101=3,Pondération!B$5*(A101-E101),IF(H101=4,Pondération!B$6*(A101-E101),IF(H101=5,Pondération!B$7*(A101-E101),0)))))</f>
        <v>0</v>
      </c>
      <c r="N101" s="41">
        <f t="shared" si="1"/>
        <v>0</v>
      </c>
      <c r="O101" s="41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41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41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41">
        <f>IF(I102=1,Pondération!B$3*(B102-D102),IF(I102=2,Pondération!B$4*(B102-D102),IF(I102=3,Pondération!B$5*(B102-D102),IF(I102=4,Pondération!B$6*(B102-D102),IF(I102=5,Pondération!B$7*(B102-D102),0)))))</f>
        <v>0</v>
      </c>
      <c r="K102" s="41">
        <f>IF(H102=5,Pondération!B$7*(A102-E102),0)</f>
        <v>0</v>
      </c>
      <c r="L102" s="41">
        <f>IF(I102=5,Pondération!B$7*(B102-D102),IF(I102=4,Pondération!B$6*(B102-D102),0))</f>
        <v>0</v>
      </c>
      <c r="M102" s="41">
        <f>IF(H102=1,Pondération!B$3*(A102-E102),IF(H102=2,Pondération!B$4*(A102-E102),IF(H102=3,Pondération!B$5*(A102-E102),IF(H102=4,Pondération!B$6*(A102-E102),IF(H102=5,Pondération!B$7*(A102-E102),0)))))</f>
        <v>0</v>
      </c>
      <c r="N102" s="41">
        <f t="shared" si="1"/>
        <v>0</v>
      </c>
      <c r="O102" s="41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41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41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41">
        <f>IF(I103=1,Pondération!B$3*(B103-D103),IF(I103=2,Pondération!B$4*(B103-D103),IF(I103=3,Pondération!B$5*(B103-D103),IF(I103=4,Pondération!B$6*(B103-D103),IF(I103=5,Pondération!B$7*(B103-D103),0)))))</f>
        <v>0</v>
      </c>
      <c r="K103" s="41">
        <f>IF(H103=5,Pondération!B$7*(A103-E103),0)</f>
        <v>0</v>
      </c>
      <c r="L103" s="41">
        <f>IF(I103=5,Pondération!B$7*(B103-D103),IF(I103=4,Pondération!B$6*(B103-D103),0))</f>
        <v>0</v>
      </c>
      <c r="M103" s="41">
        <f>IF(H103=1,Pondération!B$3*(A103-E103),IF(H103=2,Pondération!B$4*(A103-E103),IF(H103=3,Pondération!B$5*(A103-E103),IF(H103=4,Pondération!B$6*(A103-E103),IF(H103=5,Pondération!B$7*(A103-E103),0)))))</f>
        <v>0</v>
      </c>
      <c r="N103" s="41">
        <f t="shared" si="1"/>
        <v>0</v>
      </c>
      <c r="O103" s="41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41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41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41">
        <f>IF(I104=1,Pondération!B$3*(B104-D104),IF(I104=2,Pondération!B$4*(B104-D104),IF(I104=3,Pondération!B$5*(B104-D104),IF(I104=4,Pondération!B$6*(B104-D104),IF(I104=5,Pondération!B$7*(B104-D104),0)))))</f>
        <v>0</v>
      </c>
      <c r="K104" s="41">
        <f>IF(H104=5,Pondération!B$7*(A104-E104),0)</f>
        <v>0</v>
      </c>
      <c r="L104" s="41">
        <f>IF(I104=5,Pondération!B$7*(B104-D104),IF(I104=4,Pondération!B$6*(B104-D104),0))</f>
        <v>0</v>
      </c>
      <c r="M104" s="41">
        <f>IF(H104=1,Pondération!B$3*(A104-E104),IF(H104=2,Pondération!B$4*(A104-E104),IF(H104=3,Pondération!B$5*(A104-E104),IF(H104=4,Pondération!B$6*(A104-E104),IF(H104=5,Pondération!B$7*(A104-E104),0)))))</f>
        <v>0</v>
      </c>
      <c r="N104" s="41">
        <f t="shared" si="1"/>
        <v>0</v>
      </c>
      <c r="O104" s="41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41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41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41">
        <f>IF(I105=1,Pondération!B$3*(B105-D105),IF(I105=2,Pondération!B$4*(B105-D105),IF(I105=3,Pondération!B$5*(B105-D105),IF(I105=4,Pondération!B$6*(B105-D105),IF(I105=5,Pondération!B$7*(B105-D105),0)))))</f>
        <v>0</v>
      </c>
      <c r="K105" s="41">
        <f>IF(H105=5,Pondération!B$7*(A105-E105),0)</f>
        <v>0</v>
      </c>
      <c r="L105" s="41">
        <f>IF(I105=5,Pondération!B$7*(B105-D105),IF(I105=4,Pondération!B$6*(B105-D105),0))</f>
        <v>0</v>
      </c>
      <c r="M105" s="41">
        <f>IF(H105=1,Pondération!B$3*(A105-E105),IF(H105=2,Pondération!B$4*(A105-E105),IF(H105=3,Pondération!B$5*(A105-E105),IF(H105=4,Pondération!B$6*(A105-E105),IF(H105=5,Pondération!B$7*(A105-E105),0)))))</f>
        <v>0</v>
      </c>
      <c r="N105" s="41">
        <f t="shared" si="1"/>
        <v>0</v>
      </c>
      <c r="O105" s="41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41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41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41">
        <f>IF(I106=1,Pondération!B$3*(B106-D106),IF(I106=2,Pondération!B$4*(B106-D106),IF(I106=3,Pondération!B$5*(B106-D106),IF(I106=4,Pondération!B$6*(B106-D106),IF(I106=5,Pondération!B$7*(B106-D106),0)))))</f>
        <v>0</v>
      </c>
      <c r="K106" s="41">
        <f>IF(H106=5,Pondération!B$7*(A106-E106),0)</f>
        <v>0</v>
      </c>
      <c r="L106" s="41">
        <f>IF(I106=5,Pondération!B$7*(B106-D106),IF(I106=4,Pondération!B$6*(B106-D106),0))</f>
        <v>0</v>
      </c>
      <c r="M106" s="41">
        <f>IF(H106=1,Pondération!B$3*(A106-E106),IF(H106=2,Pondération!B$4*(A106-E106),IF(H106=3,Pondération!B$5*(A106-E106),IF(H106=4,Pondération!B$6*(A106-E106),IF(H106=5,Pondération!B$7*(A106-E106),0)))))</f>
        <v>0</v>
      </c>
      <c r="N106" s="41">
        <f t="shared" si="1"/>
        <v>0</v>
      </c>
      <c r="O106" s="41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41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41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41">
        <f>IF(I107=1,Pondération!B$3*(B107-D107),IF(I107=2,Pondération!B$4*(B107-D107),IF(I107=3,Pondération!B$5*(B107-D107),IF(I107=4,Pondération!B$6*(B107-D107),IF(I107=5,Pondération!B$7*(B107-D107),0)))))</f>
        <v>0</v>
      </c>
      <c r="K107" s="41">
        <f>IF(H107=5,Pondération!B$7*(A107-E107),0)</f>
        <v>0</v>
      </c>
      <c r="L107" s="41">
        <f>IF(I107=5,Pondération!B$7*(B107-D107),IF(I107=4,Pondération!B$6*(B107-D107),0))</f>
        <v>0</v>
      </c>
      <c r="M107" s="41">
        <f>IF(H107=1,Pondération!B$3*(A107-E107),IF(H107=2,Pondération!B$4*(A107-E107),IF(H107=3,Pondération!B$5*(A107-E107),IF(H107=4,Pondération!B$6*(A107-E107),IF(H107=5,Pondération!B$7*(A107-E107),0)))))</f>
        <v>0</v>
      </c>
      <c r="N107" s="41">
        <f t="shared" si="1"/>
        <v>0</v>
      </c>
      <c r="O107" s="41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41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41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41">
        <f>IF(I108=1,Pondération!B$3*(B108-D108),IF(I108=2,Pondération!B$4*(B108-D108),IF(I108=3,Pondération!B$5*(B108-D108),IF(I108=4,Pondération!B$6*(B108-D108),IF(I108=5,Pondération!B$7*(B108-D108),0)))))</f>
        <v>0</v>
      </c>
      <c r="K108" s="41">
        <f>IF(H108=5,Pondération!B$7*(A108-E108),0)</f>
        <v>0</v>
      </c>
      <c r="L108" s="41">
        <f>IF(I108=5,Pondération!B$7*(B108-D108),IF(I108=4,Pondération!B$6*(B108-D108),0))</f>
        <v>0</v>
      </c>
      <c r="M108" s="41">
        <f>IF(H108=1,Pondération!B$3*(A108-E108),IF(H108=2,Pondération!B$4*(A108-E108),IF(H108=3,Pondération!B$5*(A108-E108),IF(H108=4,Pondération!B$6*(A108-E108),IF(H108=5,Pondération!B$7*(A108-E108),0)))))</f>
        <v>0</v>
      </c>
      <c r="N108" s="41">
        <f t="shared" si="1"/>
        <v>0</v>
      </c>
      <c r="O108" s="41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41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41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41">
        <f>IF(I110=1,Pondération!B$3*(B110-D110),IF(I110=2,Pondération!B$4*(B110-D110),IF(I110=3,Pondération!B$5*(B110-D110),IF(I110=4,Pondération!B$6*(B110-D110),IF(I110=5,Pondération!B$7*(B110-D110),0)))))</f>
        <v>0</v>
      </c>
      <c r="K110" s="41">
        <f>IF(H110=5,Pondération!B$7*(A110-E110),0)</f>
        <v>0</v>
      </c>
      <c r="L110" s="41">
        <f>IF(I110=5,Pondération!B$7*(B110-D110),IF(I110=4,Pondération!B$6*(B110-D110),0))</f>
        <v>0</v>
      </c>
      <c r="M110" s="41">
        <f>IF(H110=1,Pondération!B$3*(A110-E110),IF(H110=2,Pondération!B$4*(A110-E110),IF(H110=3,Pondération!B$5*(A110-E110),IF(H110=4,Pondération!B$6*(A110-E110),IF(H110=5,Pondération!B$7*(A110-E110),0)))))</f>
        <v>0</v>
      </c>
      <c r="N110" s="41">
        <f t="shared" si="1"/>
        <v>0</v>
      </c>
      <c r="O110" s="41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41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41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41">
        <f>IF(I111=1,Pondération!B$3*(B111-D111),IF(I111=2,Pondération!B$4*(B111-D111),IF(I111=3,Pondération!B$5*(B111-D111),IF(I111=4,Pondération!B$6*(B111-D111),IF(I111=5,Pondération!B$7*(B111-D111),0)))))</f>
        <v>0</v>
      </c>
      <c r="K111" s="41">
        <f>IF(H111=5,Pondération!B$7*(A111-E111),0)</f>
        <v>0</v>
      </c>
      <c r="L111" s="41">
        <f>IF(I111=5,Pondération!B$7*(B111-D111),IF(I111=4,Pondération!B$6*(B111-D111),0))</f>
        <v>0</v>
      </c>
      <c r="M111" s="41">
        <f>IF(H111=1,Pondération!B$3*(A111-E111),IF(H111=2,Pondération!B$4*(A111-E111),IF(H111=3,Pondération!B$5*(A111-E111),IF(H111=4,Pondération!B$6*(A111-E111),IF(H111=5,Pondération!B$7*(A111-E111),0)))))</f>
        <v>0</v>
      </c>
      <c r="N111" s="41">
        <f t="shared" si="1"/>
        <v>0</v>
      </c>
      <c r="O111" s="41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41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41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41">
        <f>IF(I112=1,Pondération!B$3*(B112-D112),IF(I112=2,Pondération!B$4*(B112-D112),IF(I112=3,Pondération!B$5*(B112-D112),IF(I112=4,Pondération!B$6*(B112-D112),IF(I112=5,Pondération!B$7*(B112-D112),0)))))</f>
        <v>0</v>
      </c>
      <c r="K112" s="41">
        <f>IF(H112=5,Pondération!B$7*(A112-E112),0)</f>
        <v>0</v>
      </c>
      <c r="L112" s="41">
        <f>IF(I112=5,Pondération!B$7*(B112-D112),IF(I112=4,Pondération!B$6*(B112-D112),0))</f>
        <v>0</v>
      </c>
      <c r="M112" s="41">
        <f>IF(H112=1,Pondération!B$3*(A112-E112),IF(H112=2,Pondération!B$4*(A112-E112),IF(H112=3,Pondération!B$5*(A112-E112),IF(H112=4,Pondération!B$6*(A112-E112),IF(H112=5,Pondération!B$7*(A112-E112),0)))))</f>
        <v>0</v>
      </c>
      <c r="N112" s="41">
        <f t="shared" si="1"/>
        <v>0</v>
      </c>
      <c r="O112" s="41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41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41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41">
        <f>IF(I113=1,Pondération!B$3*(B113-D113),IF(I113=2,Pondération!B$4*(B113-D113),IF(I113=3,Pondération!B$5*(B113-D113),IF(I113=4,Pondération!B$6*(B113-D113),IF(I113=5,Pondération!B$7*(B113-D113),0)))))</f>
        <v>0</v>
      </c>
      <c r="K113" s="41">
        <f>IF(H113=5,Pondération!B$7*(A113-E113),0)</f>
        <v>0</v>
      </c>
      <c r="L113" s="41">
        <f>IF(I113=5,Pondération!B$7*(B113-D113),IF(I113=4,Pondération!B$6*(B113-D113),0))</f>
        <v>0</v>
      </c>
      <c r="M113" s="41">
        <f>IF(H113=1,Pondération!B$3*(A113-E113),IF(H113=2,Pondération!B$4*(A113-E113),IF(H113=3,Pondération!B$5*(A113-E113),IF(H113=4,Pondération!B$6*(A113-E113),IF(H113=5,Pondération!B$7*(A113-E113),0)))))</f>
        <v>0</v>
      </c>
      <c r="N113" s="41">
        <f t="shared" si="1"/>
        <v>0</v>
      </c>
      <c r="O113" s="41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41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41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41">
        <f>IF(I114=1,Pondération!B$3*(B114-D114),IF(I114=2,Pondération!B$4*(B114-D114),IF(I114=3,Pondération!B$5*(B114-D114),IF(I114=4,Pondération!B$6*(B114-D114),IF(I114=5,Pondération!B$7*(B114-D114),0)))))</f>
        <v>0</v>
      </c>
      <c r="K114" s="41">
        <f>IF(H114=5,Pondération!B$7*(A114-E114),0)</f>
        <v>0</v>
      </c>
      <c r="L114" s="41">
        <f>IF(I114=5,Pondération!B$7*(B114-D114),IF(I114=4,Pondération!B$6*(B114-D114),0))</f>
        <v>0</v>
      </c>
      <c r="M114" s="41">
        <f>IF(H114=1,Pondération!B$3*(A114-E114),IF(H114=2,Pondération!B$4*(A114-E114),IF(H114=3,Pondération!B$5*(A114-E114),IF(H114=4,Pondération!B$6*(A114-E114),IF(H114=5,Pondération!B$7*(A114-E114),0)))))</f>
        <v>0</v>
      </c>
      <c r="N114" s="41">
        <f t="shared" si="1"/>
        <v>0</v>
      </c>
      <c r="O114" s="41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41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41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41">
        <f>IF(I115=1,Pondération!B$3*(B115-D115),IF(I115=2,Pondération!B$4*(B115-D115),IF(I115=3,Pondération!B$5*(B115-D115),IF(I115=4,Pondération!B$6*(B115-D115),IF(I115=5,Pondération!B$7*(B115-D115),0)))))</f>
        <v>0</v>
      </c>
      <c r="K115" s="41">
        <f>IF(H115=5,Pondération!B$7*(A115-E115),0)</f>
        <v>0</v>
      </c>
      <c r="L115" s="41">
        <f>IF(I115=5,Pondération!B$7*(B115-D115),IF(I115=4,Pondération!B$6*(B115-D115),0))</f>
        <v>0</v>
      </c>
      <c r="M115" s="41">
        <f>IF(H115=1,Pondération!B$3*(A115-E115),IF(H115=2,Pondération!B$4*(A115-E115),IF(H115=3,Pondération!B$5*(A115-E115),IF(H115=4,Pondération!B$6*(A115-E115),IF(H115=5,Pondération!B$7*(A115-E115),0)))))</f>
        <v>0</v>
      </c>
      <c r="N115" s="41">
        <f t="shared" si="1"/>
        <v>0</v>
      </c>
      <c r="O115" s="41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41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41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41">
        <f>IF(I116=1,Pondération!B$3*(B116-D116),IF(I116=2,Pondération!B$4*(B116-D116),IF(I116=3,Pondération!B$5*(B116-D116),IF(I116=4,Pondération!B$6*(B116-D116),IF(I116=5,Pondération!B$7*(B116-D116),0)))))</f>
        <v>0</v>
      </c>
      <c r="K116" s="41">
        <f>IF(H116=5,Pondération!B$7*(A116-E116),0)</f>
        <v>0</v>
      </c>
      <c r="L116" s="41">
        <f>IF(I116=5,Pondération!B$7*(B116-D116),IF(I116=4,Pondération!B$6*(B116-D116),0))</f>
        <v>0</v>
      </c>
      <c r="M116" s="41">
        <f>IF(H116=1,Pondération!B$3*(A116-E116),IF(H116=2,Pondération!B$4*(A116-E116),IF(H116=3,Pondération!B$5*(A116-E116),IF(H116=4,Pondération!B$6*(A116-E116),IF(H116=5,Pondération!B$7*(A116-E116),0)))))</f>
        <v>0</v>
      </c>
      <c r="N116" s="41">
        <f t="shared" si="1"/>
        <v>0</v>
      </c>
      <c r="O116" s="41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41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41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41">
        <f>IF(I117=1,Pondération!B$3*(B117-D117),IF(I117=2,Pondération!B$4*(B117-D117),IF(I117=3,Pondération!B$5*(B117-D117),IF(I117=4,Pondération!B$6*(B117-D117),IF(I117=5,Pondération!B$7*(B117-D117),0)))))</f>
        <v>0</v>
      </c>
      <c r="K117" s="41">
        <f>IF(H117=5,Pondération!B$7*(A117-E117),0)</f>
        <v>0</v>
      </c>
      <c r="L117" s="41">
        <f>IF(I117=5,Pondération!B$7*(B117-D117),IF(I117=4,Pondération!B$6*(B117-D117),0))</f>
        <v>0</v>
      </c>
      <c r="M117" s="41">
        <f>IF(H117=1,Pondération!B$3*(A117-E117),IF(H117=2,Pondération!B$4*(A117-E117),IF(H117=3,Pondération!B$5*(A117-E117),IF(H117=4,Pondération!B$6*(A117-E117),IF(H117=5,Pondération!B$7*(A117-E117),0)))))</f>
        <v>0</v>
      </c>
      <c r="N117" s="41">
        <f t="shared" si="1"/>
        <v>0</v>
      </c>
      <c r="O117" s="41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41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41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41">
        <f>IF(I118=1,Pondération!B$3*(B118-D118),IF(I118=2,Pondération!B$4*(B118-D118),IF(I118=3,Pondération!B$5*(B118-D118),IF(I118=4,Pondération!B$6*(B118-D118),IF(I118=5,Pondération!B$7*(B118-D118),0)))))</f>
        <v>0</v>
      </c>
      <c r="K118" s="41">
        <f>IF(H118=5,Pondération!B$7*(A118-E118),0)</f>
        <v>0</v>
      </c>
      <c r="L118" s="41">
        <f>IF(I118=5,Pondération!B$7*(B118-D118),IF(I118=4,Pondération!B$6*(B118-D118),0))</f>
        <v>0</v>
      </c>
      <c r="M118" s="41">
        <f>IF(H118=1,Pondération!B$3*(A118-E118),IF(H118=2,Pondération!B$4*(A118-E118),IF(H118=3,Pondération!B$5*(A118-E118),IF(H118=4,Pondération!B$6*(A118-E118),IF(H118=5,Pondération!B$7*(A118-E118),0)))))</f>
        <v>0</v>
      </c>
      <c r="N118" s="41">
        <f t="shared" si="1"/>
        <v>0</v>
      </c>
      <c r="O118" s="41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41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41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41">
        <f>IF(I119=1,Pondération!B$3*(B119-D119),IF(I119=2,Pondération!B$4*(B119-D119),IF(I119=3,Pondération!B$5*(B119-D119),IF(I119=4,Pondération!B$6*(B119-D119),IF(I119=5,Pondération!B$7*(B119-D119),0)))))</f>
        <v>0</v>
      </c>
      <c r="K119" s="41">
        <f>IF(H119=5,Pondération!B$7*(A119-E119),0)</f>
        <v>0</v>
      </c>
      <c r="L119" s="41">
        <f>IF(I119=5,Pondération!B$7*(B119-D119),IF(I119=4,Pondération!B$6*(B119-D119),0))</f>
        <v>0</v>
      </c>
      <c r="M119" s="41">
        <f>IF(H119=1,Pondération!B$3*(A119-E119),IF(H119=2,Pondération!B$4*(A119-E119),IF(H119=3,Pondération!B$5*(A119-E119),IF(H119=4,Pondération!B$6*(A119-E119),IF(H119=5,Pondération!B$7*(A119-E119),0)))))</f>
        <v>0</v>
      </c>
      <c r="N119" s="41">
        <f t="shared" si="1"/>
        <v>0</v>
      </c>
      <c r="O119" s="41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41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41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41">
        <f>IF(I120=1,Pondération!B$3*(B120-D120),IF(I120=2,Pondération!B$4*(B120-D120),IF(I120=3,Pondération!B$5*(B120-D120),IF(I120=4,Pondération!B$6*(B120-D120),IF(I120=5,Pondération!B$7*(B120-D120),0)))))</f>
        <v>0</v>
      </c>
      <c r="K120" s="41">
        <f>IF(H120=5,Pondération!B$7*(A120-E120),0)</f>
        <v>0</v>
      </c>
      <c r="L120" s="41">
        <f>IF(I120=5,Pondération!B$7*(B120-D120),IF(I120=4,Pondération!B$6*(B120-D120),0))</f>
        <v>0</v>
      </c>
      <c r="M120" s="41">
        <f>IF(H120=1,Pondération!B$3*(A120-E120),IF(H120=2,Pondération!B$4*(A120-E120),IF(H120=3,Pondération!B$5*(A120-E120),IF(H120=4,Pondération!B$6*(A120-E120),IF(H120=5,Pondération!B$7*(A120-E120),0)))))</f>
        <v>0</v>
      </c>
      <c r="N120" s="41">
        <f t="shared" si="1"/>
        <v>0</v>
      </c>
      <c r="O120" s="41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41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41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41">
        <f>IF(I121=1,Pondération!B$3*(B121-D121),IF(I121=2,Pondération!B$4*(B121-D121),IF(I121=3,Pondération!B$5*(B121-D121),IF(I121=4,Pondération!B$6*(B121-D121),IF(I121=5,Pondération!B$7*(B121-D121),0)))))</f>
        <v>0</v>
      </c>
      <c r="K121" s="41">
        <f>IF(H121=5,Pondération!B$7*(A121-E121),0)</f>
        <v>0</v>
      </c>
      <c r="L121" s="41">
        <f>IF(I121=5,Pondération!B$7*(B121-D121),IF(I121=4,Pondération!B$6*(B121-D121),0))</f>
        <v>0</v>
      </c>
      <c r="M121" s="41">
        <f>IF(H121=1,Pondération!B$3*(A121-E121),IF(H121=2,Pondération!B$4*(A121-E121),IF(H121=3,Pondération!B$5*(A121-E121),IF(H121=4,Pondération!B$6*(A121-E121),IF(H121=5,Pondération!B$7*(A121-E121),0)))))</f>
        <v>0</v>
      </c>
      <c r="N121" s="41">
        <f t="shared" si="1"/>
        <v>0</v>
      </c>
      <c r="O121" s="41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41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41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41">
        <f>IF(I122=1,Pondération!B$3*(B122-D122),IF(I122=2,Pondération!B$4*(B122-D122),IF(I122=3,Pondération!B$5*(B122-D122),IF(I122=4,Pondération!B$6*(B122-D122),IF(I122=5,Pondération!B$7*(B122-D122),0)))))</f>
        <v>0</v>
      </c>
      <c r="K122" s="41">
        <f>IF(H122=5,Pondération!B$7*(A122-E122),0)</f>
        <v>0</v>
      </c>
      <c r="L122" s="41">
        <f>IF(I122=5,Pondération!B$7*(B122-D122),IF(I122=4,Pondération!B$6*(B122-D122),0))</f>
        <v>0</v>
      </c>
      <c r="M122" s="41">
        <f>IF(H122=1,Pondération!B$3*(A122-E122),IF(H122=2,Pondération!B$4*(A122-E122),IF(H122=3,Pondération!B$5*(A122-E122),IF(H122=4,Pondération!B$6*(A122-E122),IF(H122=5,Pondération!B$7*(A122-E122),0)))))</f>
        <v>0</v>
      </c>
      <c r="N122" s="41">
        <f t="shared" si="1"/>
        <v>0</v>
      </c>
      <c r="O122" s="41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41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41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41">
        <f>IF(I123=1,Pondération!B$3*(B123-D123),IF(I123=2,Pondération!B$4*(B123-D123),IF(I123=3,Pondération!B$5*(B123-D123),IF(I123=4,Pondération!B$6*(B123-D123),IF(I123=5,Pondération!B$7*(B123-D123),0)))))</f>
        <v>0</v>
      </c>
      <c r="K123" s="41">
        <f>IF(H123=5,Pondération!B$7*(A123-E123),0)</f>
        <v>0</v>
      </c>
      <c r="L123" s="41">
        <f>IF(I123=5,Pondération!B$7*(B123-D123),IF(I123=4,Pondération!B$6*(B123-D123),0))</f>
        <v>0</v>
      </c>
      <c r="M123" s="41">
        <f>IF(H123=1,Pondération!B$3*(A123-E123),IF(H123=2,Pondération!B$4*(A123-E123),IF(H123=3,Pondération!B$5*(A123-E123),IF(H123=4,Pondération!B$6*(A123-E123),IF(H123=5,Pondération!B$7*(A123-E123),0)))))</f>
        <v>0</v>
      </c>
      <c r="N123" s="41">
        <f t="shared" si="1"/>
        <v>0</v>
      </c>
      <c r="O123" s="41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41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41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41">
        <f>IF(I124=1,Pondération!B$3*(B124-D124),IF(I124=2,Pondération!B$4*(B124-D124),IF(I124=3,Pondération!B$5*(B124-D124),IF(I124=4,Pondération!B$6*(B124-D124),IF(I124=5,Pondération!B$7*(B124-D124),0)))))</f>
        <v>0</v>
      </c>
      <c r="K124" s="41">
        <f>IF(H124=5,Pondération!B$7*(A124-E124),0)</f>
        <v>0</v>
      </c>
      <c r="L124" s="41">
        <f>IF(I124=5,Pondération!B$7*(B124-D124),IF(I124=4,Pondération!B$6*(B124-D124),0))</f>
        <v>0</v>
      </c>
      <c r="M124" s="41">
        <f>IF(H124=1,Pondération!B$3*(A124-E124),IF(H124=2,Pondération!B$4*(A124-E124),IF(H124=3,Pondération!B$5*(A124-E124),IF(H124=4,Pondération!B$6*(A124-E124),IF(H124=5,Pondération!B$7*(A124-E124),0)))))</f>
        <v>0</v>
      </c>
      <c r="N124" s="41">
        <f t="shared" si="1"/>
        <v>0</v>
      </c>
      <c r="O124" s="41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41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41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41">
        <f>IF(I125=1,Pondération!B$3*(B125-D125),IF(I125=2,Pondération!B$4*(B125-D125),IF(I125=3,Pondération!B$5*(B125-D125),IF(I125=4,Pondération!B$6*(B125-D125),IF(I125=5,Pondération!B$7*(B125-D125),0)))))</f>
        <v>0</v>
      </c>
      <c r="K125" s="41">
        <f>IF(H125=5,Pondération!B$7*(A125-E125),0)</f>
        <v>0</v>
      </c>
      <c r="L125" s="41">
        <f>IF(I125=5,Pondération!B$7*(B125-D125),IF(I125=4,Pondération!B$6*(B125-D125),0))</f>
        <v>0</v>
      </c>
      <c r="M125" s="41">
        <f>IF(H125=1,Pondération!B$3*(A125-E125),IF(H125=2,Pondération!B$4*(A125-E125),IF(H125=3,Pondération!B$5*(A125-E125),IF(H125=4,Pondération!B$6*(A125-E125),IF(H125=5,Pondération!B$7*(A125-E125),0)))))</f>
        <v>0</v>
      </c>
      <c r="N125" s="41">
        <f t="shared" si="1"/>
        <v>0</v>
      </c>
      <c r="O125" s="41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41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41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41">
        <f>IF(I126=1,Pondération!B$3*(B126-D126),IF(I126=2,Pondération!B$4*(B126-D126),IF(I126=3,Pondération!B$5*(B126-D126),IF(I126=4,Pondération!B$6*(B126-D126),IF(I126=5,Pondération!B$7*(B126-D126),0)))))</f>
        <v>0</v>
      </c>
      <c r="K126" s="41">
        <f>IF(H126=5,Pondération!B$7*(A126-E126),0)</f>
        <v>0</v>
      </c>
      <c r="L126" s="41">
        <f>IF(I126=5,Pondération!B$7*(B126-D126),IF(I126=4,Pondération!B$6*(B126-D126),0))</f>
        <v>0</v>
      </c>
      <c r="M126" s="41">
        <f>IF(H126=1,Pondération!B$3*(A126-E126),IF(H126=2,Pondération!B$4*(A126-E126),IF(H126=3,Pondération!B$5*(A126-E126),IF(H126=4,Pondération!B$6*(A126-E126),IF(H126=5,Pondération!B$7*(A126-E126),0)))))</f>
        <v>0</v>
      </c>
      <c r="N126" s="41">
        <f t="shared" si="1"/>
        <v>0</v>
      </c>
      <c r="O126" s="41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41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41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41">
        <f>IF(I127=1,Pondération!B$3*(B127-D127),IF(I127=2,Pondération!B$4*(B127-D127),IF(I127=3,Pondération!B$5*(B127-D127),IF(I127=4,Pondération!B$6*(B127-D127),IF(I127=5,Pondération!B$7*(B127-D127),0)))))</f>
        <v>0</v>
      </c>
      <c r="K127" s="41">
        <f>IF(H127=5,Pondération!B$7*(A127-E127),0)</f>
        <v>0</v>
      </c>
      <c r="L127" s="41">
        <f>IF(I127=5,Pondération!B$7*(B127-D127),IF(I127=4,Pondération!B$6*(B127-D127),0))</f>
        <v>0</v>
      </c>
      <c r="M127" s="41">
        <f>IF(H127=1,Pondération!B$3*(A127-E127),IF(H127=2,Pondération!B$4*(A127-E127),IF(H127=3,Pondération!B$5*(A127-E127),IF(H127=4,Pondération!B$6*(A127-E127),IF(H127=5,Pondération!B$7*(A127-E127),0)))))</f>
        <v>0</v>
      </c>
      <c r="N127" s="41">
        <f t="shared" si="1"/>
        <v>0</v>
      </c>
      <c r="O127" s="41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41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41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41">
        <f>IF(I128=1,Pondération!B$3*(B128-D128),IF(I128=2,Pondération!B$4*(B128-D128),IF(I128=3,Pondération!B$5*(B128-D128),IF(I128=4,Pondération!B$6*(B128-D128),IF(I128=5,Pondération!B$7*(B128-D128),0)))))</f>
        <v>0</v>
      </c>
      <c r="K128" s="41">
        <f>IF(H128=5,Pondération!B$7*(A128-E128),0)</f>
        <v>0</v>
      </c>
      <c r="L128" s="41">
        <f>IF(I128=5,Pondération!B$7*(B128-D128),IF(I128=4,Pondération!B$6*(B128-D128),0))</f>
        <v>0</v>
      </c>
      <c r="M128" s="41">
        <f>IF(H128=1,Pondération!B$3*(A128-E128),IF(H128=2,Pondération!B$4*(A128-E128),IF(H128=3,Pondération!B$5*(A128-E128),IF(H128=4,Pondération!B$6*(A128-E128),IF(H128=5,Pondération!B$7*(A128-E128),0)))))</f>
        <v>0</v>
      </c>
      <c r="N128" s="41">
        <f t="shared" si="1"/>
        <v>0</v>
      </c>
      <c r="O128" s="41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41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41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41">
        <f>IF(I129=1,Pondération!B$3*(B129-D129),IF(I129=2,Pondération!B$4*(B129-D129),IF(I129=3,Pondération!B$5*(B129-D129),IF(I129=4,Pondération!B$6*(B129-D129),IF(I129=5,Pondération!B$7*(B129-D129),0)))))</f>
        <v>0</v>
      </c>
      <c r="K129" s="41">
        <f>IF(H129=5,Pondération!B$7*(A129-E129),0)</f>
        <v>0</v>
      </c>
      <c r="L129" s="41">
        <f>IF(I129=5,Pondération!B$7*(B129-D129),IF(I129=4,Pondération!B$6*(B129-D129),0))</f>
        <v>0</v>
      </c>
      <c r="M129" s="41">
        <f>IF(H129=1,Pondération!B$3*(A129-E129),IF(H129=2,Pondération!B$4*(A129-E129),IF(H129=3,Pondération!B$5*(A129-E129),IF(H129=4,Pondération!B$6*(A129-E129),IF(H129=5,Pondération!B$7*(A129-E129),0)))))</f>
        <v>0</v>
      </c>
      <c r="N129" s="41">
        <f t="shared" si="1"/>
        <v>0</v>
      </c>
      <c r="O129" s="41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41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41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41">
        <f>IF(I130=1,Pondération!B$3*(B130-D130),IF(I130=2,Pondération!B$4*(B130-D130),IF(I130=3,Pondération!B$5*(B130-D130),IF(I130=4,Pondération!B$6*(B130-D130),IF(I130=5,Pondération!B$7*(B130-D130),0)))))</f>
        <v>0</v>
      </c>
      <c r="K130" s="41">
        <f>IF(H130=5,Pondération!B$7*(A130-E130),0)</f>
        <v>0</v>
      </c>
      <c r="L130" s="41">
        <f>IF(I130=5,Pondération!B$7*(B130-D130),IF(I130=4,Pondération!B$6*(B130-D130),0))</f>
        <v>0</v>
      </c>
      <c r="M130" s="41">
        <f>IF(H130=1,Pondération!B$3*(A130-E130),IF(H130=2,Pondération!B$4*(A130-E130),IF(H130=3,Pondération!B$5*(A130-E130),IF(H130=4,Pondération!B$6*(A130-E130),IF(H130=5,Pondération!B$7*(A130-E130),0)))))</f>
        <v>0</v>
      </c>
      <c r="N130" s="41">
        <f t="shared" si="1"/>
        <v>0</v>
      </c>
      <c r="O130" s="41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41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41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41">
        <f>IF(I131=1,Pondération!B$3*(B131-D131),IF(I131=2,Pondération!B$4*(B131-D131),IF(I131=3,Pondération!B$5*(B131-D131),IF(I131=4,Pondération!B$6*(B131-D131),IF(I131=5,Pondération!B$7*(B131-D131),0)))))</f>
        <v>0</v>
      </c>
      <c r="K131" s="41">
        <f>IF(H131=5,Pondération!B$7*(A131-E131),0)</f>
        <v>0</v>
      </c>
      <c r="L131" s="41">
        <f>IF(I131=5,Pondération!B$7*(B131-D131),IF(I131=4,Pondération!B$6*(B131-D131),0))</f>
        <v>0</v>
      </c>
      <c r="M131" s="41">
        <f>IF(H131=1,Pondération!B$3*(A131-E131),IF(H131=2,Pondération!B$4*(A131-E131),IF(H131=3,Pondération!B$5*(A131-E131),IF(H131=4,Pondération!B$6*(A131-E131),IF(H131=5,Pondération!B$7*(A131-E131),0)))))</f>
        <v>0</v>
      </c>
      <c r="N131" s="41">
        <f t="shared" si="1"/>
        <v>0</v>
      </c>
      <c r="O131" s="41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41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41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41">
        <f>IF(I132=1,Pondération!B$3*(B132-D132),IF(I132=2,Pondération!B$4*(B132-D132),IF(I132=3,Pondération!B$5*(B132-D132),IF(I132=4,Pondération!B$6*(B132-D132),IF(I132=5,Pondération!B$7*(B132-D132),0)))))</f>
        <v>0</v>
      </c>
      <c r="K132" s="41">
        <f>IF(H132=5,Pondération!B$7*(A132-E132),0)</f>
        <v>0</v>
      </c>
      <c r="L132" s="41">
        <f>IF(I132=5,Pondération!B$7*(B132-D132),IF(I132=4,Pondération!B$6*(B132-D132),0))</f>
        <v>0</v>
      </c>
      <c r="M132" s="41">
        <f>IF(H132=1,Pondération!B$3*(A132-E132),IF(H132=2,Pondération!B$4*(A132-E132),IF(H132=3,Pondération!B$5*(A132-E132),IF(H132=4,Pondération!B$6*(A132-E132),IF(H132=5,Pondération!B$7*(A132-E132),0)))))</f>
        <v>0</v>
      </c>
      <c r="N132" s="41">
        <f t="shared" ref="N132:N144" si="2">D132+E132-B132-A132</f>
        <v>0</v>
      </c>
      <c r="O132" s="41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41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41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41">
        <f>IF(I133=1,Pondération!B$3*(B133-D133),IF(I133=2,Pondération!B$4*(B133-D133),IF(I133=3,Pondération!B$5*(B133-D133),IF(I133=4,Pondération!B$6*(B133-D133),IF(I133=5,Pondération!B$7*(B133-D133),0)))))</f>
        <v>0</v>
      </c>
      <c r="K133" s="41">
        <f>IF(H133=5,Pondération!B$7*(A133-E133),0)</f>
        <v>0</v>
      </c>
      <c r="L133" s="41">
        <f>IF(I133=5,Pondération!B$7*(B133-D133),IF(I133=4,Pondération!B$6*(B133-D133),0))</f>
        <v>0</v>
      </c>
      <c r="M133" s="41">
        <f>IF(H133=1,Pondération!B$3*(A133-E133),IF(H133=2,Pondération!B$4*(A133-E133),IF(H133=3,Pondération!B$5*(A133-E133),IF(H133=4,Pondération!B$6*(A133-E133),IF(H133=5,Pondération!B$7*(A133-E133),0)))))</f>
        <v>0</v>
      </c>
      <c r="N133" s="41">
        <f t="shared" si="2"/>
        <v>0</v>
      </c>
      <c r="O133" s="41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41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41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41">
        <f>IF(I134=1,Pondération!B$3*(B134-D134),IF(I134=2,Pondération!B$4*(B134-D134),IF(I134=3,Pondération!B$5*(B134-D134),IF(I134=4,Pondération!B$6*(B134-D134),IF(I134=5,Pondération!B$7*(B134-D134),0)))))</f>
        <v>0</v>
      </c>
      <c r="K134" s="41">
        <f>IF(H134=5,Pondération!B$7*(A134-E134),0)</f>
        <v>0</v>
      </c>
      <c r="L134" s="41">
        <f>IF(I134=5,Pondération!B$7*(B134-D134),IF(I134=4,Pondération!B$6*(B134-D134),0))</f>
        <v>0</v>
      </c>
      <c r="M134" s="41">
        <f>IF(H134=1,Pondération!B$3*(A134-E134),IF(H134=2,Pondération!B$4*(A134-E134),IF(H134=3,Pondération!B$5*(A134-E134),IF(H134=4,Pondération!B$6*(A134-E134),IF(H134=5,Pondération!B$7*(A134-E134),0)))))</f>
        <v>0</v>
      </c>
      <c r="N134" s="41">
        <f t="shared" si="2"/>
        <v>0</v>
      </c>
      <c r="O134" s="41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41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41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41">
        <f>IF(I135=1,Pondération!B$3*(B135-D135),IF(I135=2,Pondération!B$4*(B135-D135),IF(I135=3,Pondération!B$5*(B135-D135),IF(I135=4,Pondération!B$6*(B135-D135),IF(I135=5,Pondération!B$7*(B135-D135),0)))))</f>
        <v>0</v>
      </c>
      <c r="K135" s="41">
        <f>IF(H135=5,Pondération!B$7*(A135-E135),0)</f>
        <v>0</v>
      </c>
      <c r="L135" s="41">
        <f>IF(I135=5,Pondération!B$7*(B135-D135),IF(I135=4,Pondération!B$6*(B135-D135),0))</f>
        <v>0</v>
      </c>
      <c r="M135" s="41">
        <f>IF(H135=1,Pondération!B$3*(A135-E135),IF(H135=2,Pondération!B$4*(A135-E135),IF(H135=3,Pondération!B$5*(A135-E135),IF(H135=4,Pondération!B$6*(A135-E135),IF(H135=5,Pondération!B$7*(A135-E135),0)))))</f>
        <v>0</v>
      </c>
      <c r="N135" s="41">
        <f t="shared" si="2"/>
        <v>0</v>
      </c>
      <c r="O135" s="41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41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41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41">
        <f>IF(I136=1,Pondération!B$3*(B136-D136),IF(I136=2,Pondération!B$4*(B136-D136),IF(I136=3,Pondération!B$5*(B136-D136),IF(I136=4,Pondération!B$6*(B136-D136),IF(I136=5,Pondération!B$7*(B136-D136),0)))))</f>
        <v>0</v>
      </c>
      <c r="K136" s="41">
        <f>IF(H136=5,Pondération!B$7*(A136-E136),0)</f>
        <v>0</v>
      </c>
      <c r="L136" s="41">
        <f>IF(I136=5,Pondération!B$7*(B136-D136),IF(I136=4,Pondération!B$6*(B136-D136),0))</f>
        <v>0</v>
      </c>
      <c r="M136" s="41">
        <f>IF(H136=1,Pondération!B$3*(A136-E136),IF(H136=2,Pondération!B$4*(A136-E136),IF(H136=3,Pondération!B$5*(A136-E136),IF(H136=4,Pondération!B$6*(A136-E136),IF(H136=5,Pondération!B$7*(A136-E136),0)))))</f>
        <v>0</v>
      </c>
      <c r="N136" s="41">
        <f t="shared" si="2"/>
        <v>0</v>
      </c>
      <c r="O136" s="41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41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41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41">
        <f>IF(I137=1,Pondération!B$3*(B137-D137),IF(I137=2,Pondération!B$4*(B137-D137),IF(I137=3,Pondération!B$5*(B137-D137),IF(I137=4,Pondération!B$6*(B137-D137),IF(I137=5,Pondération!B$7*(B137-D137),0)))))</f>
        <v>0</v>
      </c>
      <c r="K137" s="41">
        <f>IF(H137=5,Pondération!B$7*(A137-E137),0)</f>
        <v>0</v>
      </c>
      <c r="L137" s="41">
        <f>IF(I137=5,Pondération!B$7*(B137-D137),IF(I137=4,Pondération!B$6*(B137-D137),0))</f>
        <v>0</v>
      </c>
      <c r="M137" s="41">
        <f>IF(H137=1,Pondération!B$3*(A137-E137),IF(H137=2,Pondération!B$4*(A137-E137),IF(H137=3,Pondération!B$5*(A137-E137),IF(H137=4,Pondération!B$6*(A137-E137),IF(H137=5,Pondération!B$7*(A137-E137),0)))))</f>
        <v>0</v>
      </c>
      <c r="N137" s="41">
        <f t="shared" si="2"/>
        <v>0</v>
      </c>
      <c r="O137" s="41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41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41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41">
        <f>IF(I138=1,Pondération!B$3*(B138-D138),IF(I138=2,Pondération!B$4*(B138-D138),IF(I138=3,Pondération!B$5*(B138-D138),IF(I138=4,Pondération!B$6*(B138-D138),IF(I138=5,Pondération!B$7*(B138-D138),0)))))</f>
        <v>0</v>
      </c>
      <c r="K138" s="41">
        <f>IF(H138=5,Pondération!B$7*(A138-E138),0)</f>
        <v>0</v>
      </c>
      <c r="L138" s="41">
        <f>IF(I138=5,Pondération!B$7*(B138-D138),IF(I138=4,Pondération!B$6*(B138-D138),0))</f>
        <v>0</v>
      </c>
      <c r="M138" s="41">
        <f>IF(H138=1,Pondération!B$3*(A138-E138),IF(H138=2,Pondération!B$4*(A138-E138),IF(H138=3,Pondération!B$5*(A138-E138),IF(H138=4,Pondération!B$6*(A138-E138),IF(H138=5,Pondération!B$7*(A138-E138),0)))))</f>
        <v>0</v>
      </c>
      <c r="N138" s="41">
        <f t="shared" si="2"/>
        <v>0</v>
      </c>
      <c r="O138" s="41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41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41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41">
        <f>IF(I139=1,Pondération!B$3*(B139-D139),IF(I139=2,Pondération!B$4*(B139-D139),IF(I139=3,Pondération!B$5*(B139-D139),IF(I139=4,Pondération!B$6*(B139-D139),IF(I139=5,Pondération!B$7*(B139-D139),0)))))</f>
        <v>0</v>
      </c>
      <c r="K139" s="41">
        <f>IF(H139=5,Pondération!B$7*(A139-E139),0)</f>
        <v>0</v>
      </c>
      <c r="L139" s="41">
        <f>IF(I139=5,Pondération!B$7*(B139-D139),IF(I139=4,Pondération!B$6*(B139-D139),0))</f>
        <v>0</v>
      </c>
      <c r="M139" s="41">
        <f>IF(H139=1,Pondération!B$3*(A139-E139),IF(H139=2,Pondération!B$4*(A139-E139),IF(H139=3,Pondération!B$5*(A139-E139),IF(H139=4,Pondération!B$6*(A139-E139),IF(H139=5,Pondération!B$7*(A139-E139),0)))))</f>
        <v>0</v>
      </c>
      <c r="N139" s="41">
        <f t="shared" si="2"/>
        <v>0</v>
      </c>
      <c r="O139" s="41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41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41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41">
        <f>IF(I140=1,Pondération!B$3*(B140-D140),IF(I140=2,Pondération!B$4*(B140-D140),IF(I140=3,Pondération!B$5*(B140-D140),IF(I140=4,Pondération!B$6*(B140-D140),IF(I140=5,Pondération!B$7*(B140-D140),0)))))</f>
        <v>0</v>
      </c>
      <c r="K140" s="41">
        <f>IF(H140=5,Pondération!B$7*(A140-E140),0)</f>
        <v>0</v>
      </c>
      <c r="L140" s="41">
        <f>IF(I140=5,Pondération!B$7*(B140-D140),IF(I140=4,Pondération!B$6*(B140-D140),0))</f>
        <v>0</v>
      </c>
      <c r="M140" s="41">
        <f>IF(H140=1,Pondération!B$3*(A140-E140),IF(H140=2,Pondération!B$4*(A140-E140),IF(H140=3,Pondération!B$5*(A140-E140),IF(H140=4,Pondération!B$6*(A140-E140),IF(H140=5,Pondération!B$7*(A140-E140),0)))))</f>
        <v>0</v>
      </c>
      <c r="N140" s="41">
        <f t="shared" si="2"/>
        <v>0</v>
      </c>
      <c r="O140" s="41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41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41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41">
        <f>IF(I141=1,Pondération!B$3*(B141-D141),IF(I141=2,Pondération!B$4*(B141-D141),IF(I141=3,Pondération!B$5*(B141-D141),IF(I141=4,Pondération!B$6*(B141-D141),IF(I141=5,Pondération!B$7*(B141-D141),0)))))</f>
        <v>0</v>
      </c>
      <c r="K141" s="41">
        <f>IF(H141=5,Pondération!B$7*(A141-E141),0)</f>
        <v>0</v>
      </c>
      <c r="L141" s="41">
        <f>IF(I141=5,Pondération!B$7*(B141-D141),IF(I141=4,Pondération!B$6*(B141-D141),0))</f>
        <v>0</v>
      </c>
      <c r="M141" s="41">
        <f>IF(H141=1,Pondération!B$3*(A141-E141),IF(H141=2,Pondération!B$4*(A141-E141),IF(H141=3,Pondération!B$5*(A141-E141),IF(H141=4,Pondération!B$6*(A141-E141),IF(H141=5,Pondération!B$7*(A141-E141),0)))))</f>
        <v>0</v>
      </c>
      <c r="N141" s="41">
        <f t="shared" si="2"/>
        <v>0</v>
      </c>
      <c r="O141" s="41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41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41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41">
        <f>IF(I142=1,Pondération!B$3*(B142-D142),IF(I142=2,Pondération!B$4*(B142-D142),IF(I142=3,Pondération!B$5*(B142-D142),IF(I142=4,Pondération!B$6*(B142-D142),IF(I142=5,Pondération!B$7*(B142-D142),0)))))</f>
        <v>0</v>
      </c>
      <c r="K142" s="41">
        <f>IF(H142=5,Pondération!B$7*(A142-E142),0)</f>
        <v>0</v>
      </c>
      <c r="L142" s="41">
        <f>IF(I142=5,Pondération!B$7*(B142-D142),IF(I142=4,Pondération!B$6*(B142-D142),0))</f>
        <v>0</v>
      </c>
      <c r="M142" s="41">
        <f>IF(H142=1,Pondération!B$3*(A142-E142),IF(H142=2,Pondération!B$4*(A142-E142),IF(H142=3,Pondération!B$5*(A142-E142),IF(H142=4,Pondération!B$6*(A142-E142),IF(H142=5,Pondération!B$7*(A142-E142),0)))))</f>
        <v>0</v>
      </c>
      <c r="N142" s="41">
        <f t="shared" si="2"/>
        <v>0</v>
      </c>
      <c r="O142" s="41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41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41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41">
        <f>IF(I143=1,Pondération!B$3*(B143-D143),IF(I143=2,Pondération!B$4*(B143-D143),IF(I143=3,Pondération!B$5*(B143-D143),IF(I143=4,Pondération!B$6*(B143-D143),IF(I143=5,Pondération!B$7*(B143-D143),0)))))</f>
        <v>0</v>
      </c>
      <c r="K143" s="41">
        <f>IF(H143=5,Pondération!B$7*(A143-E143),0)</f>
        <v>0</v>
      </c>
      <c r="L143" s="41">
        <f>IF(I143=5,Pondération!B$7*(B143-D143),IF(I143=4,Pondération!B$6*(B143-D143),0))</f>
        <v>0</v>
      </c>
      <c r="M143" s="41">
        <f>IF(H143=1,Pondération!B$3*(A143-E143),IF(H143=2,Pondération!B$4*(A143-E143),IF(H143=3,Pondération!B$5*(A143-E143),IF(H143=4,Pondération!B$6*(A143-E143),IF(H143=5,Pondération!B$7*(A143-E143),0)))))</f>
        <v>0</v>
      </c>
      <c r="N143" s="41">
        <f t="shared" si="2"/>
        <v>0</v>
      </c>
      <c r="O143" s="41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41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41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41">
        <f>IF(I144=1,Pondération!B$3*(B144-D144),IF(I144=2,Pondération!B$4*(B144-D144),IF(I144=3,Pondération!B$5*(B144-D144),IF(I144=4,Pondération!B$6*(B144-D144),IF(I144=5,Pondération!B$7*(B144-D144),0)))))</f>
        <v>0</v>
      </c>
      <c r="K144" s="41">
        <f>IF(H144=5,Pondération!B$7*(A144-E144),0)</f>
        <v>0</v>
      </c>
      <c r="L144" s="41">
        <f>IF(I144=5,Pondération!B$7*(B144-D144),IF(I144=4,Pondération!B$6*(B144-D144),0))</f>
        <v>0</v>
      </c>
      <c r="M144" s="41">
        <f>IF(H144=1,Pondération!B$3*(A144-E144),IF(H144=2,Pondération!B$4*(A144-E144),IF(H144=3,Pondération!B$5*(A144-E144),IF(H144=4,Pondération!B$6*(A144-E144),IF(H144=5,Pondération!B$7*(A144-E144),0)))))</f>
        <v>0</v>
      </c>
      <c r="N144" s="41">
        <f t="shared" si="2"/>
        <v>0</v>
      </c>
      <c r="O144" s="41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41"/>
    </row>
    <row r="145" spans="1:42" ht="15.75" customHeight="1" x14ac:dyDescent="0.2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ht="12.75" x14ac:dyDescent="0.2">
      <c r="A146" s="41"/>
      <c r="B146" s="41"/>
      <c r="C146" s="41"/>
      <c r="D146" s="41"/>
      <c r="E146" s="41"/>
      <c r="F146" s="41"/>
      <c r="G146" s="41"/>
      <c r="H146" s="41"/>
      <c r="I146" s="41"/>
      <c r="J146" s="41">
        <f>SUM(J2:J144)*Pondération!B2</f>
        <v>0</v>
      </c>
      <c r="K146" s="41">
        <f>SUM(K2:K144)*Pondération!B1</f>
        <v>0</v>
      </c>
      <c r="L146" s="41">
        <f>SUM(L2:L144)*Pondération!B2</f>
        <v>0</v>
      </c>
      <c r="M146" s="41">
        <f>SUM(M2:M144)*Pondération!B1</f>
        <v>0</v>
      </c>
      <c r="N146" s="41"/>
      <c r="O146" s="41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ht="15.75" customHeight="1" x14ac:dyDescent="0.2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ht="15.75" customHeight="1" x14ac:dyDescent="0.2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</row>
    <row r="149" spans="1:42" ht="15.75" customHeight="1" x14ac:dyDescent="0.2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</row>
    <row r="150" spans="1:42" ht="15.75" customHeight="1" x14ac:dyDescent="0.2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ht="15.75" customHeight="1" x14ac:dyDescent="0.2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ht="15.75" customHeight="1" x14ac:dyDescent="0.2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ht="15.75" customHeight="1" x14ac:dyDescent="0.2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ht="15.75" customHeight="1" x14ac:dyDescent="0.2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ht="15.75" customHeight="1" x14ac:dyDescent="0.2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ht="15.75" customHeight="1" x14ac:dyDescent="0.2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ht="15.75" customHeight="1" x14ac:dyDescent="0.2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ht="15.75" customHeight="1" x14ac:dyDescent="0.2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ht="15.75" customHeight="1" x14ac:dyDescent="0.2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ht="15.75" customHeight="1" x14ac:dyDescent="0.2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</row>
    <row r="161" spans="1:37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</row>
    <row r="162" spans="1:37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</row>
    <row r="163" spans="1:37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</row>
    <row r="164" spans="1:37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</row>
    <row r="165" spans="1:37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</row>
    <row r="166" spans="1:37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</row>
    <row r="167" spans="1:37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</row>
    <row r="168" spans="1:37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</row>
    <row r="169" spans="1:37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</row>
    <row r="170" spans="1:37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</row>
    <row r="171" spans="1:37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</row>
    <row r="172" spans="1:37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</row>
    <row r="173" spans="1:37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</row>
    <row r="174" spans="1:37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</row>
    <row r="175" spans="1:37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37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  <row r="183" spans="1:37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</row>
    <row r="184" spans="1:37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</row>
    <row r="185" spans="1:37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</row>
    <row r="186" spans="1:37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</row>
    <row r="187" spans="1:37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</row>
    <row r="188" spans="1:37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</row>
    <row r="189" spans="1:37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</row>
    <row r="190" spans="1:37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</row>
    <row r="191" spans="1:37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</row>
    <row r="192" spans="1:37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</row>
    <row r="193" spans="1:37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</row>
    <row r="194" spans="1:37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</row>
    <row r="195" spans="1:37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</row>
    <row r="196" spans="1:37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</row>
    <row r="197" spans="1:37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</row>
    <row r="198" spans="1:37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</row>
    <row r="199" spans="1:37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</row>
    <row r="200" spans="1:37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</row>
    <row r="201" spans="1:37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</row>
    <row r="202" spans="1:37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</row>
    <row r="203" spans="1:37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</row>
    <row r="204" spans="1:37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</row>
    <row r="205" spans="1:37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</row>
    <row r="206" spans="1:37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</row>
    <row r="207" spans="1:37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</row>
    <row r="208" spans="1:37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</row>
    <row r="209" spans="1:37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</row>
    <row r="210" spans="1:37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</row>
    <row r="211" spans="1:37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</row>
    <row r="212" spans="1:37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</row>
    <row r="213" spans="1:37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</row>
    <row r="214" spans="1:37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</row>
    <row r="215" spans="1:37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</row>
    <row r="216" spans="1:37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</row>
    <row r="217" spans="1:37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</row>
    <row r="218" spans="1:37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</row>
    <row r="219" spans="1:37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</row>
    <row r="220" spans="1:37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</row>
    <row r="221" spans="1:37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</row>
    <row r="222" spans="1:37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</row>
    <row r="223" spans="1:37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</row>
    <row r="224" spans="1:37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</row>
    <row r="225" spans="1:37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</row>
    <row r="226" spans="1:37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</row>
    <row r="227" spans="1:37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</row>
    <row r="228" spans="1:37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</row>
    <row r="229" spans="1:37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</row>
    <row r="230" spans="1:37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</row>
    <row r="231" spans="1:37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</row>
    <row r="232" spans="1:37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</row>
    <row r="233" spans="1:37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</row>
    <row r="234" spans="1:37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</row>
    <row r="235" spans="1:37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</row>
    <row r="236" spans="1:37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</row>
    <row r="237" spans="1:37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P237"/>
  <sheetViews>
    <sheetView workbookViewId="0">
      <selection sqref="A1:E144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2" ht="39.950000000000003" customHeight="1" thickTop="1" thickBot="1" x14ac:dyDescent="0.2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34"/>
      <c r="G1" s="34"/>
      <c r="H1" s="11" t="s">
        <v>6</v>
      </c>
      <c r="I1" s="11" t="s">
        <v>7</v>
      </c>
      <c r="J1" s="12" t="s">
        <v>657</v>
      </c>
      <c r="K1" s="11" t="s">
        <v>658</v>
      </c>
      <c r="L1" s="11" t="s">
        <v>659</v>
      </c>
      <c r="M1" s="28" t="s">
        <v>660</v>
      </c>
      <c r="N1" s="11" t="s">
        <v>8</v>
      </c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2" ht="15.75" customHeight="1" thickTop="1" thickBot="1" x14ac:dyDescent="0.25">
      <c r="A2" s="3"/>
      <c r="B2" s="3"/>
      <c r="C2" s="4" t="s">
        <v>9</v>
      </c>
      <c r="D2" s="5"/>
      <c r="E2" s="6"/>
      <c r="F2" s="34"/>
      <c r="G2" s="4" t="s">
        <v>9</v>
      </c>
      <c r="H2" s="13">
        <f>IF(Compos!A2="Aatrox",1,IF(Compos!A3="Aatrox",2,IF(Compos!A4="Aatrox",3,IF(Compos!A5="Aatrox",4,IF(Compos!A6="Aatrox",5,0)))))</f>
        <v>0</v>
      </c>
      <c r="I2" s="13">
        <f>IF(Compos!D2="Aatrox",1,IF(Compos!D3="Aatrox",2,IF(Compos!D4="Aatrox",3,IF(Compos!D5="Aatrox",4,IF(Compos!D6="Aatrox",5,0)))))</f>
        <v>0</v>
      </c>
      <c r="J2" s="34">
        <f>IF(I2=1,Pondération!B$3*(B2-D2),IF(I2=2,Pondération!B$4*(B2-D2),IF(I2=3,Pondération!B$5*(B2-D2),IF(I2=4,Pondération!B$6*(B2-D2),IF(I2=5,Pondération!B$7*(B2-D2),0)))))</f>
        <v>0</v>
      </c>
      <c r="K2" s="34">
        <f>IF(H2=5,Pondération!B$7*(A2-E2),0)</f>
        <v>0</v>
      </c>
      <c r="L2" s="34">
        <f>IF(I2=5,Pondération!B$7*(B2-D2),IF(I2=4,Pondération!B$6*(B2-D2),0))</f>
        <v>0</v>
      </c>
      <c r="M2" s="34">
        <f>IF(H2=1,Pondération!B$3*(A2-E2),IF(H2=2,Pondération!B$4*(A2-E2),IF(H2=3,Pondération!B$5*(A2-E2),IF(H2=4,Pondération!B$6*(A2-E2),IF(H2=5,Pondération!B$7*(A2-E2),0)))))</f>
        <v>0</v>
      </c>
      <c r="N2" s="34">
        <f t="shared" ref="N2:N65" si="0">D2+E2-B2-A2</f>
        <v>0</v>
      </c>
      <c r="O2" s="34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34"/>
    </row>
    <row r="3" spans="1:42" ht="15.75" customHeight="1" thickTop="1" thickBot="1" x14ac:dyDescent="0.25">
      <c r="A3" s="3"/>
      <c r="B3" s="3"/>
      <c r="C3" s="7" t="s">
        <v>10</v>
      </c>
      <c r="D3" s="5"/>
      <c r="E3" s="6"/>
      <c r="F3" s="34"/>
      <c r="G3" s="7" t="s">
        <v>10</v>
      </c>
      <c r="H3" s="15">
        <f>IF(Compos!A2="Ahri",1,IF(Compos!A3="Ahri",2,IF(Compos!A4="Ahri",3,IF(Compos!A5="Ahri",4,IF(Compos!A6="Ahri",5,0)))))</f>
        <v>0</v>
      </c>
      <c r="I3" s="14">
        <f>IF(Compos!D2="Ahri",1,IF(Compos!D3="Ahri",2,IF(Compos!D4="Ahri",3,IF(Compos!D5="Ahri",4,IF(Compos!D6="Ahri",5,0)))))</f>
        <v>0</v>
      </c>
      <c r="J3" s="34">
        <f>IF(I3=1,Pondération!B$3*(B3-D3),IF(I3=2,Pondération!B$4*(B3-D3),IF(I3=3,Pondération!B$5*(B3-D3),IF(I3=4,Pondération!B$6*(B3-D3),IF(I3=5,Pondération!B$7*(B3-D3),0)))))</f>
        <v>0</v>
      </c>
      <c r="K3" s="34">
        <f>IF(H3=5,Pondération!B$7*(A3-E3),0)</f>
        <v>0</v>
      </c>
      <c r="L3" s="34">
        <f>IF(I3=5,Pondération!B$7*(B3-D3),IF(I3=4,Pondération!B$6*(B3-D3),0))</f>
        <v>0</v>
      </c>
      <c r="M3" s="34">
        <f>IF(H3=1,Pondération!B$3*(A3-E3),IF(H3=2,Pondération!B$4*(A3-E3),IF(H3=3,Pondération!B$5*(A3-E3),IF(H3=4,Pondération!B$6*(A3-E3),IF(H3=5,Pondération!B$7*(A3-E3),0)))))</f>
        <v>0</v>
      </c>
      <c r="N3" s="34">
        <f t="shared" si="0"/>
        <v>0</v>
      </c>
      <c r="O3" s="34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34"/>
    </row>
    <row r="4" spans="1:42" ht="15.75" customHeight="1" thickTop="1" thickBot="1" x14ac:dyDescent="0.25">
      <c r="A4" s="3"/>
      <c r="B4" s="3"/>
      <c r="C4" s="7" t="s">
        <v>11</v>
      </c>
      <c r="D4" s="5"/>
      <c r="E4" s="6"/>
      <c r="F4" s="34"/>
      <c r="G4" s="7" t="s">
        <v>11</v>
      </c>
      <c r="H4" s="14">
        <f>IF(Compos!A2="Akali",1,IF(Compos!A3="Akali",2,IF(Compos!A4="Akali",3,IF(Compos!A5="Akali",4,IF(Compos!A6="Akali",5,0)))))</f>
        <v>0</v>
      </c>
      <c r="I4" s="14">
        <f>IF(Compos!D2="Akali",1,IF(Compos!D3="Akali",2,IF(Compos!D4="Akali",3,IF(Compos!D5="Akali",4,IF(Compos!D6="Akali",5,0)))))</f>
        <v>0</v>
      </c>
      <c r="J4" s="34">
        <f>IF(I4=1,Pondération!B$3*(B4-D4),IF(I4=2,Pondération!B$4*(B4-D4),IF(I4=3,Pondération!B$5*(B4-D4),IF(I4=4,Pondération!B$6*(B4-D4),IF(I4=5,Pondération!B$7*(B4-D4),0)))))</f>
        <v>0</v>
      </c>
      <c r="K4" s="34">
        <f>IF(H4=5,Pondération!B$7*(A4-E4),0)</f>
        <v>0</v>
      </c>
      <c r="L4" s="34">
        <f>IF(I4=5,Pondération!B$7*(B4-D4),IF(I4=4,Pondération!B$6*(B4-D4),0))</f>
        <v>0</v>
      </c>
      <c r="M4" s="34">
        <f>IF(H4=1,Pondération!B$3*(A4-E4),IF(H4=2,Pondération!B$4*(A4-E4),IF(H4=3,Pondération!B$5*(A4-E4),IF(H4=4,Pondération!B$6*(A4-E4),IF(H4=5,Pondération!B$7*(A4-E4),0)))))</f>
        <v>0</v>
      </c>
      <c r="N4" s="34">
        <f t="shared" si="0"/>
        <v>0</v>
      </c>
      <c r="O4" s="34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34"/>
    </row>
    <row r="5" spans="1:42" ht="15.75" customHeight="1" thickTop="1" thickBot="1" x14ac:dyDescent="0.25">
      <c r="A5" s="3"/>
      <c r="B5" s="3"/>
      <c r="C5" s="7" t="s">
        <v>12</v>
      </c>
      <c r="D5" s="5"/>
      <c r="E5" s="6"/>
      <c r="F5" s="34"/>
      <c r="G5" s="7" t="s">
        <v>12</v>
      </c>
      <c r="H5" s="14">
        <f>IF(OR(Compos!A2="Alistar",Compos!A2="Ali"),1,IF(OR(Compos!A3="Alistar",Compos!A3="Ali"),2,IF(OR(Compos!A4="Alistar",Compos!A4="Ali"),3,IF(OR(Compos!A5="Alistar",Compos!A5="Ali"),4,IF(OR(Compos!A6="Alistar",Compos!A6="Ali"),5,0)))))</f>
        <v>0</v>
      </c>
      <c r="I5" s="14">
        <f>IF(OR(Compos!D2="Alistar",Compos!D2="Ali"),1,IF(OR(Compos!D3="Alistar",Compos!D3="Ali"),2,IF(OR(Compos!D4="Alistar",Compos!D4="Ali"),3,IF(OR(Compos!D5="Alistar",Compos!D5="Ali"),4,IF(OR(Compos!D6="Alistar",Compos!D6="Ali"),5,0)))))</f>
        <v>0</v>
      </c>
      <c r="J5" s="34">
        <f>IF(I5=1,Pondération!B$3*(B5-D5),IF(I5=2,Pondération!B$4*(B5-D5),IF(I5=3,Pondération!B$5*(B5-D5),IF(I5=4,Pondération!B$6*(B5-D5),IF(I5=5,Pondération!B$7*(B5-D5),0)))))</f>
        <v>0</v>
      </c>
      <c r="K5" s="34">
        <f>IF(H5=5,Pondération!B$7*(A5-E5),0)</f>
        <v>0</v>
      </c>
      <c r="L5" s="34">
        <f>IF(I5=5,Pondération!B$7*(B5-D5),IF(I5=4,Pondération!B$6*(B5-D5),0))</f>
        <v>0</v>
      </c>
      <c r="M5" s="34">
        <f>IF(H5=1,Pondération!B$3*(A5-E5),IF(H5=2,Pondération!B$4*(A5-E5),IF(H5=3,Pondération!B$5*(A5-E5),IF(H5=4,Pondération!B$6*(A5-E5),IF(H5=5,Pondération!B$7*(A5-E5),0)))))</f>
        <v>0</v>
      </c>
      <c r="N5" s="34">
        <f t="shared" si="0"/>
        <v>0</v>
      </c>
      <c r="O5" s="34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34"/>
    </row>
    <row r="6" spans="1:42" ht="15.75" customHeight="1" thickTop="1" thickBot="1" x14ac:dyDescent="0.25">
      <c r="A6" s="3"/>
      <c r="B6" s="3"/>
      <c r="C6" s="7" t="s">
        <v>13</v>
      </c>
      <c r="D6" s="5"/>
      <c r="E6" s="6"/>
      <c r="F6" s="34"/>
      <c r="G6" s="7" t="s">
        <v>13</v>
      </c>
      <c r="H6" s="14">
        <f>IF(OR(Compos!A2="Amumu",Compos!A2="Mumu"),1,IF(OR(Compos!A3="Amumu",Compos!A3="Mumu"),2,IF(OR(Compos!A4="Amumu",Compos!A4="Mumu"),3,IF(OR(Compos!A5="Amumu",Compos!A5="Mumu"),4,IF(OR(Compos!A6="Amumu",Compos!A6="Mumu"),5,0)))))</f>
        <v>0</v>
      </c>
      <c r="I6" s="14">
        <f>IF(OR(Compos!D2="Amumu",Compos!D2="Mumu"),1,IF(OR(Compos!D3="Amumu",Compos!D3="Mumu"),2,IF(OR(Compos!D4="Amumu",Compos!D4="Mumu"),3,IF(OR(Compos!D5="Amumu",Compos!D5="Mumu"),4,IF(OR(Compos!D6="Amumu",Compos!D6="Mumu"),5,0)))))</f>
        <v>0</v>
      </c>
      <c r="J6" s="34">
        <f>IF(I6=1,Pondération!B$3*(B6-D6),IF(I6=2,Pondération!B$4*(B6-D6),IF(I6=3,Pondération!B$5*(B6-D6),IF(I6=4,Pondération!B$6*(B6-D6),IF(I6=5,Pondération!B$7*(B6-D6),0)))))</f>
        <v>0</v>
      </c>
      <c r="K6" s="34">
        <f>IF(H6=5,Pondération!B$7*(A6-E6),0)</f>
        <v>0</v>
      </c>
      <c r="L6" s="34">
        <f>IF(I6=5,Pondération!B$7*(B6-D6),IF(I6=4,Pondération!B$6*(B6-D6),0))</f>
        <v>0</v>
      </c>
      <c r="M6" s="34">
        <f>IF(H6=1,Pondération!B$3*(A6-E6),IF(H6=2,Pondération!B$4*(A6-E6),IF(H6=3,Pondération!B$5*(A6-E6),IF(H6=4,Pondération!B$6*(A6-E6),IF(H6=5,Pondération!B$7*(A6-E6),0)))))</f>
        <v>0</v>
      </c>
      <c r="N6" s="34">
        <f t="shared" si="0"/>
        <v>0</v>
      </c>
      <c r="O6" s="34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34"/>
    </row>
    <row r="7" spans="1:42" ht="15.75" customHeight="1" thickTop="1" thickBot="1" x14ac:dyDescent="0.25">
      <c r="A7" s="3"/>
      <c r="B7" s="3"/>
      <c r="C7" s="7" t="s">
        <v>14</v>
      </c>
      <c r="D7" s="5"/>
      <c r="E7" s="6"/>
      <c r="F7" s="34"/>
      <c r="G7" s="7" t="s">
        <v>14</v>
      </c>
      <c r="H7" s="14">
        <f>IF(Compos!A2="Anivia",1,IF(Compos!A3="Anivia",2,IF(Compos!A4="Anivia",3,IF(Compos!A5="Anivia",4,IF(Compos!A6="Anivia",5,0)))))</f>
        <v>0</v>
      </c>
      <c r="I7" s="14">
        <f>IF(Compos!D2="Anivia",1,IF(Compos!D3="Anivia",2,IF(Compos!D4="Anivia",3,IF(Compos!D5="Anivia",4,IF(Compos!D6="Anivia",5,0)))))</f>
        <v>0</v>
      </c>
      <c r="J7" s="34">
        <f>IF(I7=1,Pondération!B$3*(B7-D7),IF(I7=2,Pondération!B$4*(B7-D7),IF(I7=3,Pondération!B$5*(B7-D7),IF(I7=4,Pondération!B$6*(B7-D7),IF(I7=5,Pondération!B$7*(B7-D7),0)))))</f>
        <v>0</v>
      </c>
      <c r="K7" s="34">
        <f>IF(H7=5,Pondération!B$7*(A7-E7),0)</f>
        <v>0</v>
      </c>
      <c r="L7" s="34">
        <f>IF(I7=5,Pondération!B$7*(B7-D7),IF(I7=4,Pondération!B$6*(B7-D7),0))</f>
        <v>0</v>
      </c>
      <c r="M7" s="34">
        <f>IF(H7=1,Pondération!B$3*(A7-E7),IF(H7=2,Pondération!B$4*(A7-E7),IF(H7=3,Pondération!B$5*(A7-E7),IF(H7=4,Pondération!B$6*(A7-E7),IF(H7=5,Pondération!B$7*(A7-E7),0)))))</f>
        <v>0</v>
      </c>
      <c r="N7" s="34">
        <f t="shared" si="0"/>
        <v>0</v>
      </c>
      <c r="O7" s="34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34"/>
    </row>
    <row r="8" spans="1:42" ht="15.75" customHeight="1" thickTop="1" thickBot="1" x14ac:dyDescent="0.25">
      <c r="A8" s="3"/>
      <c r="B8" s="3"/>
      <c r="C8" s="7" t="s">
        <v>15</v>
      </c>
      <c r="D8" s="5"/>
      <c r="E8" s="6"/>
      <c r="F8" s="34"/>
      <c r="G8" s="7" t="s">
        <v>15</v>
      </c>
      <c r="H8" s="14">
        <f>IF(Compos!A2="Annie",1,IF(Compos!A3="Annie",2,IF(Compos!A4="Annie",3,IF(Compos!A5="Annie",4,IF(Compos!A6="Annie",5,0)))))</f>
        <v>0</v>
      </c>
      <c r="I8" s="14">
        <f>IF(Compos!D2="Annie",1,IF(Compos!D3="Annie",2,IF(Compos!D4="Annie",3,IF(Compos!D5="Annie",4,IF(Compos!D6="Annie",5,0)))))</f>
        <v>0</v>
      </c>
      <c r="J8" s="34">
        <f>IF(I8=1,Pondération!B$3*(B8-D8),IF(I8=2,Pondération!B$4*(B8-D8),IF(I8=3,Pondération!B$5*(B8-D8),IF(I8=4,Pondération!B$6*(B8-D8),IF(I8=5,Pondération!B$7*(B8-D8),0)))))</f>
        <v>0</v>
      </c>
      <c r="K8" s="34">
        <f>IF(H8=5,Pondération!B$7*(A8-E8),0)</f>
        <v>0</v>
      </c>
      <c r="L8" s="34">
        <f>IF(I8=5,Pondération!B$7*(B8-D8),IF(I8=4,Pondération!B$6*(B8-D8),0))</f>
        <v>0</v>
      </c>
      <c r="M8" s="34">
        <f>IF(H8=1,Pondération!B$3*(A8-E8),IF(H8=2,Pondération!B$4*(A8-E8),IF(H8=3,Pondération!B$5*(A8-E8),IF(H8=4,Pondération!B$6*(A8-E8),IF(H8=5,Pondération!B$7*(A8-E8),0)))))</f>
        <v>0</v>
      </c>
      <c r="N8" s="34">
        <f t="shared" si="0"/>
        <v>0</v>
      </c>
      <c r="O8" s="34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34"/>
    </row>
    <row r="9" spans="1:42" ht="15.75" customHeight="1" thickTop="1" thickBot="1" x14ac:dyDescent="0.25">
      <c r="A9" s="3"/>
      <c r="B9" s="3"/>
      <c r="C9" s="7" t="s">
        <v>16</v>
      </c>
      <c r="D9" s="5"/>
      <c r="E9" s="6"/>
      <c r="F9" s="34"/>
      <c r="G9" s="7" t="s">
        <v>16</v>
      </c>
      <c r="H9" s="14">
        <f>IF(Compos!A2="Ashe",1,IF(Compos!A3="Ashe",2,IF(Compos!A4="Ashe",3,IF(Compos!A5="Ashe",4,IF(Compos!A6="Ashe",5,0)))))</f>
        <v>0</v>
      </c>
      <c r="I9" s="14">
        <f>IF(Compos!D2="Ashe",1,IF(Compos!D3="Ashe",2,IF(Compos!D4="Ashe",3,IF(Compos!D5="Ashe",4,IF(Compos!D6="Ashe",5,0)))))</f>
        <v>0</v>
      </c>
      <c r="J9" s="34">
        <f>IF(I9=1,Pondération!B$3*(B9-D9),IF(I9=2,Pondération!B$4*(B9-D9),IF(I9=3,Pondération!B$5*(B9-D9),IF(I9=4,Pondération!B$6*(B9-D9),IF(I9=5,Pondération!B$7*(B9-D9),0)))))</f>
        <v>0</v>
      </c>
      <c r="K9" s="34">
        <f>IF(H9=5,Pondération!B$7*(A9-E9),0)</f>
        <v>0</v>
      </c>
      <c r="L9" s="34">
        <f>IF(I9=5,Pondération!B$7*(B9-D9),IF(I9=4,Pondération!B$6*(B9-D9),0))</f>
        <v>0</v>
      </c>
      <c r="M9" s="34">
        <f>IF(H9=1,Pondération!B$3*(A9-E9),IF(H9=2,Pondération!B$4*(A9-E9),IF(H9=3,Pondération!B$5*(A9-E9),IF(H9=4,Pondération!B$6*(A9-E9),IF(H9=5,Pondération!B$7*(A9-E9),0)))))</f>
        <v>0</v>
      </c>
      <c r="N9" s="34">
        <f t="shared" si="0"/>
        <v>0</v>
      </c>
      <c r="O9" s="34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34"/>
    </row>
    <row r="10" spans="1:42" ht="15.75" customHeight="1" thickTop="1" thickBot="1" x14ac:dyDescent="0.25">
      <c r="A10" s="3"/>
      <c r="B10" s="3"/>
      <c r="C10" s="7" t="s">
        <v>17</v>
      </c>
      <c r="D10" s="5"/>
      <c r="E10" s="6"/>
      <c r="F10" s="34"/>
      <c r="G10" s="7" t="s">
        <v>17</v>
      </c>
      <c r="H10" s="14">
        <f>IF(OR(Compos!A2="Aurelion Sol",Compos!A2="Aurelion",Compos!A2="Sol",Compos!A2="Aurel"),1,IF(OR(Compos!A3="Aurelion Sol",Compos!A3="Aurelion",Compos!A3="Sol",Compos!A3="Aurel"),2,IF(OR(Compos!A4="Aurelion Sol",Compos!A4="Aurelion",Compos!A4="Sol",Compos!A4="Aurel"),3,IF(OR(Compos!A5="Aurelion Sol",Compos!A5="Aurelion",Compos!A5="Sol",Compos!A5="Aurel"),4,IF(OR(Compos!A6="Aurelion Sol",Compos!A6="Aurelion",Compos!A6="Sol",Compos!A6="Aurel"),5,0)))))</f>
        <v>0</v>
      </c>
      <c r="I10" s="14">
        <f>IF(OR(Compos!D2="Aurelion Sol",Compos!D2="Aurelion",Compos!D2="Sol",Compos!D2="Aurel"),1,IF(OR(Compos!D3="Aurelion Sol",Compos!D3="Aurelion",Compos!D3="Sol",Compos!D3="Aurel"),2,IF(OR(Compos!D4="Aurelion Sol",Compos!D4="Aurelion",Compos!D4="Sol",Compos!D4="Aurel"),3,IF(OR(Compos!D5="Aurelion Sol",Compos!D5="Aurelion",Compos!D5="Sol",Compos!D5="Aurel"),4,IF(OR(Compos!D6="Aurelion Sol",Compos!D6="Aurelion",Compos!D6="Sol",Compos!D6="Aurel"),5,0)))))</f>
        <v>0</v>
      </c>
      <c r="J10" s="34">
        <f>IF(I10=1,Pondération!B$3*(B10-D10),IF(I10=2,Pondération!B$4*(B10-D10),IF(I10=3,Pondération!B$5*(B10-D10),IF(I10=4,Pondération!B$6*(B10-D10),IF(I10=5,Pondération!B$7*(B10-D10),0)))))</f>
        <v>0</v>
      </c>
      <c r="K10" s="34">
        <f>IF(H10=5,Pondération!B$7*(A10-E10),0)</f>
        <v>0</v>
      </c>
      <c r="L10" s="34">
        <f>IF(I10=5,Pondération!B$7*(B10-D10),IF(I10=4,Pondération!B$6*(B10-D10),0))</f>
        <v>0</v>
      </c>
      <c r="M10" s="34">
        <f>IF(H10=1,Pondération!B$3*(A10-E10),IF(H10=2,Pondération!B$4*(A10-E10),IF(H10=3,Pondération!B$5*(A10-E10),IF(H10=4,Pondération!B$6*(A10-E10),IF(H10=5,Pondération!B$7*(A10-E10),0)))))</f>
        <v>0</v>
      </c>
      <c r="N10" s="34">
        <f t="shared" si="0"/>
        <v>0</v>
      </c>
      <c r="O10" s="34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34"/>
    </row>
    <row r="11" spans="1:42" ht="15.75" customHeight="1" thickTop="1" thickBot="1" x14ac:dyDescent="0.25">
      <c r="A11" s="3"/>
      <c r="B11" s="3"/>
      <c r="C11" s="7" t="s">
        <v>18</v>
      </c>
      <c r="D11" s="5"/>
      <c r="E11" s="6"/>
      <c r="F11" s="34"/>
      <c r="G11" s="7" t="s">
        <v>18</v>
      </c>
      <c r="H11" s="14">
        <f>IF(Compos!A2="Azir",1,IF(Compos!A3="Azir",2,IF(Compos!A4="Azir",3,IF(Compos!A5="Azir",4,IF(Compos!A6="Azir",5,0)))))</f>
        <v>0</v>
      </c>
      <c r="I11" s="14">
        <f>IF(Compos!D2="Azir",1,IF(Compos!D3="Azir",2,IF(Compos!D4="Azir",3,IF(Compos!D5="Azir",4,IF(Compos!D6="Azir",5,0)))))</f>
        <v>0</v>
      </c>
      <c r="J11" s="34">
        <f>IF(I11=1,Pondération!B$3*(B11-D11),IF(I11=2,Pondération!B$4*(B11-D11),IF(I11=3,Pondération!B$5*(B11-D11),IF(I11=4,Pondération!B$6*(B11-D11),IF(I11=5,Pondération!B$7*(B11-D11),0)))))</f>
        <v>0</v>
      </c>
      <c r="K11" s="34">
        <f>IF(H11=5,Pondération!B$7*(A11-E11),0)</f>
        <v>0</v>
      </c>
      <c r="L11" s="34">
        <f>IF(I11=5,Pondération!B$7*(B11-D11),IF(I11=4,Pondération!B$6*(B11-D11),0))</f>
        <v>0</v>
      </c>
      <c r="M11" s="34">
        <f>IF(H11=1,Pondération!B$3*(A11-E11),IF(H11=2,Pondération!B$4*(A11-E11),IF(H11=3,Pondération!B$5*(A11-E11),IF(H11=4,Pondération!B$6*(A11-E11),IF(H11=5,Pondération!B$7*(A11-E11),0)))))</f>
        <v>0</v>
      </c>
      <c r="N11" s="34">
        <f t="shared" si="0"/>
        <v>0</v>
      </c>
      <c r="O11" s="34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34"/>
    </row>
    <row r="12" spans="1:42" ht="15.75" customHeight="1" thickTop="1" thickBot="1" x14ac:dyDescent="0.25">
      <c r="A12" s="3"/>
      <c r="B12" s="3"/>
      <c r="C12" s="7" t="s">
        <v>19</v>
      </c>
      <c r="D12" s="5"/>
      <c r="E12" s="6"/>
      <c r="F12" s="34"/>
      <c r="G12" s="7" t="s">
        <v>19</v>
      </c>
      <c r="H12" s="14">
        <f>IF(Compos!A2="Bard",1,IF(Compos!A3="Bard",2,IF(Compos!A4="Bard",3,IF(Compos!A5="Bard",4,IF(Compos!A6="Bard",5,0)))))</f>
        <v>0</v>
      </c>
      <c r="I12" s="14">
        <f>IF(Compos!D2="Bard",1,IF(Compos!D3="Bard",2,IF(Compos!D4="Bard",3,IF(Compos!D5="Bard",4,IF(Compos!D6="Bard",5,0)))))</f>
        <v>0</v>
      </c>
      <c r="J12" s="34">
        <f>IF(I12=1,Pondération!B$3*(B12-D12),IF(I12=2,Pondération!B$4*(B12-D12),IF(I12=3,Pondération!B$5*(B12-D12),IF(I12=4,Pondération!B$6*(B12-D12),IF(I12=5,Pondération!B$7*(B12-D12),0)))))</f>
        <v>0</v>
      </c>
      <c r="K12" s="34">
        <f>IF(H12=5,Pondération!B$7*(A12-E12),0)</f>
        <v>0</v>
      </c>
      <c r="L12" s="34">
        <f>IF(I12=5,Pondération!B$7*(B12-D12),IF(I12=4,Pondération!B$6*(B12-D12),0))</f>
        <v>0</v>
      </c>
      <c r="M12" s="34">
        <f>IF(H12=1,Pondération!B$3*(A12-E12),IF(H12=2,Pondération!B$4*(A12-E12),IF(H12=3,Pondération!B$5*(A12-E12),IF(H12=4,Pondération!B$6*(A12-E12),IF(H12=5,Pondération!B$7*(A12-E12),0)))))</f>
        <v>0</v>
      </c>
      <c r="N12" s="34">
        <f t="shared" si="0"/>
        <v>0</v>
      </c>
      <c r="O12" s="34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34"/>
    </row>
    <row r="13" spans="1:42" ht="15.75" customHeight="1" thickTop="1" thickBot="1" x14ac:dyDescent="0.25">
      <c r="A13" s="3"/>
      <c r="B13" s="3"/>
      <c r="C13" s="7" t="s">
        <v>20</v>
      </c>
      <c r="D13" s="5"/>
      <c r="E13" s="6"/>
      <c r="F13" s="34"/>
      <c r="G13" s="7" t="s">
        <v>20</v>
      </c>
      <c r="H13" s="14">
        <f>IF(OR(Compos!A2="Blitzcrank",Compos!A2="Blitz",Compos!A2="Crank",Compos!A2="BC"),1,IF(OR(Compos!A3="Blitzcrank",Compos!A3="Blitz",Compos!A3="Crank",Compos!A3="BC"),2,IF(OR(Compos!A4="Blitzcrank",Compos!A4="Blitz",Compos!A4="Crank",Compos!A4="BC"),3,IF(OR(Compos!A5="Blitzcrank",Compos!A5="Blitz",Compos!A5="Crank",Compos!A5="BC"),4,IF(OR(Compos!A6="Blitzcrank",Compos!A6="Blitz",Compos!A6="Crank",Compos!A6="BC"),5,0)))))</f>
        <v>0</v>
      </c>
      <c r="I13" s="14">
        <f>IF(OR(Compos!D2="Blitzcrank",Compos!D2="Blitz",Compos!D2="Crank",Compos!D2="BC"),1,IF(OR(Compos!D3="Blitzcrank",Compos!D3="Blitz",Compos!D3="Crank",Compos!D3="BC"),2,IF(OR(Compos!D4="Blitzcrank",Compos!D4="Blitz",Compos!D4="Crank",Compos!D4="BC"),3,IF(OR(Compos!D5="Blitzcrank",Compos!D5="Blitz",Compos!D5="Crank",Compos!D5="BC"),4,IF(OR(Compos!D6="Blitzcrank",Compos!D6="Blitz",Compos!D6="Crank",Compos!D6="BC"),5,0)))))</f>
        <v>0</v>
      </c>
      <c r="J13" s="34">
        <f>IF(I13=1,Pondération!B$3*(B13-D13),IF(I13=2,Pondération!B$4*(B13-D13),IF(I13=3,Pondération!B$5*(B13-D13),IF(I13=4,Pondération!B$6*(B13-D13),IF(I13=5,Pondération!B$7*(B13-D13),0)))))</f>
        <v>0</v>
      </c>
      <c r="K13" s="34">
        <f>IF(H13=5,Pondération!B$7*(A13-E13),0)</f>
        <v>0</v>
      </c>
      <c r="L13" s="34">
        <f>IF(I13=5,Pondération!B$7*(B13-D13),IF(I13=4,Pondération!B$6*(B13-D13),0))</f>
        <v>0</v>
      </c>
      <c r="M13" s="34">
        <f>IF(H13=1,Pondération!B$3*(A13-E13),IF(H13=2,Pondération!B$4*(A13-E13),IF(H13=3,Pondération!B$5*(A13-E13),IF(H13=4,Pondération!B$6*(A13-E13),IF(H13=5,Pondération!B$7*(A13-E13),0)))))</f>
        <v>0</v>
      </c>
      <c r="N13" s="34">
        <f t="shared" si="0"/>
        <v>0</v>
      </c>
      <c r="O13" s="34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34"/>
    </row>
    <row r="14" spans="1:42" ht="15.75" customHeight="1" thickTop="1" thickBot="1" x14ac:dyDescent="0.25">
      <c r="A14" s="3"/>
      <c r="B14" s="3"/>
      <c r="C14" s="7" t="s">
        <v>21</v>
      </c>
      <c r="D14" s="5"/>
      <c r="E14" s="6"/>
      <c r="F14" s="34"/>
      <c r="G14" s="7" t="s">
        <v>21</v>
      </c>
      <c r="H14" s="14">
        <f>IF(Compos!A2="Brand",1,IF(Compos!A3="Brand",2,IF(Compos!A4="Brand",3,IF(Compos!A5="Brand",4,IF(Compos!A6="Brand",5,0)))))</f>
        <v>0</v>
      </c>
      <c r="I14" s="14">
        <f>IF(Compos!D2="Brand",1,IF(Compos!D3="Brand",2,IF(Compos!D4="Brand",3,IF(Compos!D5="Brand",4,IF(Compos!D6="Brand",5,0)))))</f>
        <v>0</v>
      </c>
      <c r="J14" s="34">
        <f>IF(I14=1,Pondération!B$3*(B14-D14),IF(I14=2,Pondération!B$4*(B14-D14),IF(I14=3,Pondération!B$5*(B14-D14),IF(I14=4,Pondération!B$6*(B14-D14),IF(I14=5,Pondération!B$7*(B14-D14),0)))))</f>
        <v>0</v>
      </c>
      <c r="K14" s="34">
        <f>IF(H14=5,Pondération!B$7*(A14-E14),0)</f>
        <v>0</v>
      </c>
      <c r="L14" s="34">
        <f>IF(I14=5,Pondération!B$7*(B14-D14),IF(I14=4,Pondération!B$6*(B14-D14),0))</f>
        <v>0</v>
      </c>
      <c r="M14" s="34">
        <f>IF(H14=1,Pondération!B$3*(A14-E14),IF(H14=2,Pondération!B$4*(A14-E14),IF(H14=3,Pondération!B$5*(A14-E14),IF(H14=4,Pondération!B$6*(A14-E14),IF(H14=5,Pondération!B$7*(A14-E14),0)))))</f>
        <v>0</v>
      </c>
      <c r="N14" s="34">
        <f t="shared" si="0"/>
        <v>0</v>
      </c>
      <c r="O14" s="34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34"/>
    </row>
    <row r="15" spans="1:42" ht="15.75" customHeight="1" thickTop="1" thickBot="1" x14ac:dyDescent="0.25">
      <c r="A15" s="3"/>
      <c r="B15" s="3"/>
      <c r="C15" s="7" t="s">
        <v>22</v>
      </c>
      <c r="D15" s="5"/>
      <c r="E15" s="6"/>
      <c r="F15" s="34"/>
      <c r="G15" s="7" t="s">
        <v>22</v>
      </c>
      <c r="H15" s="14">
        <f>IF(Compos!A2="Braum",1,IF(Compos!A3="Braum",2,IF(Compos!A4="Braum",3,IF(Compos!A5="Braum",4,IF(Compos!A6="Braum",5,0)))))</f>
        <v>0</v>
      </c>
      <c r="I15" s="14">
        <f>IF(Compos!D2="Braum",1,IF(Compos!D3="Braum",2,IF(Compos!D4="Braum",3,IF(Compos!D5="Braum",4,IF(Compos!D6="Braum",5,0)))))</f>
        <v>0</v>
      </c>
      <c r="J15" s="34">
        <f>IF(I15=1,Pondération!B$3*(B15-D15),IF(I15=2,Pondération!B$4*(B15-D15),IF(I15=3,Pondération!B$5*(B15-D15),IF(I15=4,Pondération!B$6*(B15-D15),IF(I15=5,Pondération!B$7*(B15-D15),0)))))</f>
        <v>0</v>
      </c>
      <c r="K15" s="34">
        <f>IF(H15=5,Pondération!B$7*(A15-E15),0)</f>
        <v>0</v>
      </c>
      <c r="L15" s="34">
        <f>IF(I15=5,Pondération!B$7*(B15-D15),IF(I15=4,Pondération!B$6*(B15-D15),0))</f>
        <v>0</v>
      </c>
      <c r="M15" s="34">
        <f>IF(H15=1,Pondération!B$3*(A15-E15),IF(H15=2,Pondération!B$4*(A15-E15),IF(H15=3,Pondération!B$5*(A15-E15),IF(H15=4,Pondération!B$6*(A15-E15),IF(H15=5,Pondération!B$7*(A15-E15),0)))))</f>
        <v>0</v>
      </c>
      <c r="N15" s="34">
        <f t="shared" si="0"/>
        <v>0</v>
      </c>
      <c r="O15" s="34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34"/>
    </row>
    <row r="16" spans="1:42" ht="15.75" customHeight="1" thickTop="1" thickBot="1" x14ac:dyDescent="0.25">
      <c r="A16" s="3"/>
      <c r="B16" s="3"/>
      <c r="C16" s="7" t="s">
        <v>23</v>
      </c>
      <c r="D16" s="5"/>
      <c r="E16" s="6"/>
      <c r="F16" s="34"/>
      <c r="G16" s="7" t="s">
        <v>23</v>
      </c>
      <c r="H16" s="14">
        <f>IF(OR(Compos!A2="Caitlyn",Compos!A2="Cait"),1,IF(OR(Compos!A3="Caitlyn",Compos!A3="Cait"),2,IF(OR(Compos!A4="Caitlyn",Compos!A4="Cait"),3,IF(OR(Compos!A5="Caitlyn",Compos!A5="Cait"),4,IF(OR(Compos!A6="Caitlyn",Compos!A6="Cait"),5,0)))))</f>
        <v>0</v>
      </c>
      <c r="I16" s="14">
        <f>IF(OR(Compos!D2="Caitlyn",Compos!D2="Cait"),1,IF(OR(Compos!D3="Caitlyn",Compos!D3="Cait"),2,IF(OR(Compos!D4="Caitlyn",Compos!D4="Cait"),3,IF(OR(Compos!D5="Caitlyn",Compos!D5="Cait"),4,IF(OR(Compos!D6="Caitlyn",Compos!D6="Cait"),5,0)))))</f>
        <v>0</v>
      </c>
      <c r="J16" s="34">
        <f>IF(I16=1,Pondération!B$3*(B16-D16),IF(I16=2,Pondération!B$4*(B16-D16),IF(I16=3,Pondération!B$5*(B16-D16),IF(I16=4,Pondération!B$6*(B16-D16),IF(I16=5,Pondération!B$7*(B16-D16),0)))))</f>
        <v>0</v>
      </c>
      <c r="K16" s="34">
        <f>IF(H16=5,Pondération!B$7*(A16-E16),0)</f>
        <v>0</v>
      </c>
      <c r="L16" s="34">
        <f>IF(I16=5,Pondération!B$7*(B16-D16),IF(I16=4,Pondération!B$6*(B16-D16),0))</f>
        <v>0</v>
      </c>
      <c r="M16" s="34">
        <f>IF(H16=1,Pondération!B$3*(A16-E16),IF(H16=2,Pondération!B$4*(A16-E16),IF(H16=3,Pondération!B$5*(A16-E16),IF(H16=4,Pondération!B$6*(A16-E16),IF(H16=5,Pondération!B$7*(A16-E16),0)))))</f>
        <v>0</v>
      </c>
      <c r="N16" s="34">
        <f t="shared" si="0"/>
        <v>0</v>
      </c>
      <c r="O16" s="34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34"/>
    </row>
    <row r="17" spans="1:42" ht="15.75" customHeight="1" thickTop="1" thickBot="1" x14ac:dyDescent="0.25">
      <c r="A17" s="3"/>
      <c r="B17" s="3"/>
      <c r="C17" s="7" t="s">
        <v>24</v>
      </c>
      <c r="D17" s="5"/>
      <c r="E17" s="6"/>
      <c r="F17" s="34"/>
      <c r="G17" s="7" t="s">
        <v>24</v>
      </c>
      <c r="H17" s="14">
        <f>IF(Compos!A2="Camille",1,IF(Compos!A3="Camille",2,IF(Compos!A4="Camille",3,IF(Compos!A5="Camille",4,IF(Compos!A6="Camille",5,0)))))</f>
        <v>0</v>
      </c>
      <c r="I17" s="14">
        <f>IF(Compos!D2="Camille",1,IF(Compos!D3="Camille",2,IF(Compos!D4="Camille",3,IF(Compos!D5="Camille",4,IF(Compos!D6="Camille",5,0)))))</f>
        <v>0</v>
      </c>
      <c r="J17" s="34">
        <f>IF(I17=1,Pondération!B$3*(B17-D17),IF(I17=2,Pondération!B$4*(B17-D17),IF(I17=3,Pondération!B$5*(B17-D17),IF(I17=4,Pondération!B$6*(B17-D17),IF(I17=5,Pondération!B$7*(B17-D17),0)))))</f>
        <v>0</v>
      </c>
      <c r="K17" s="34">
        <f>IF(H17=5,Pondération!B$7*(A17-E17),0)</f>
        <v>0</v>
      </c>
      <c r="L17" s="34">
        <f>IF(I17=5,Pondération!B$7*(B17-D17),IF(I17=4,Pondération!B$6*(B17-D17),0))</f>
        <v>0</v>
      </c>
      <c r="M17" s="34">
        <f>IF(H17=1,Pondération!B$3*(A17-E17),IF(H17=2,Pondération!B$4*(A17-E17),IF(H17=3,Pondération!B$5*(A17-E17),IF(H17=4,Pondération!B$6*(A17-E17),IF(H17=5,Pondération!B$7*(A17-E17),0)))))</f>
        <v>0</v>
      </c>
      <c r="N17" s="34">
        <f t="shared" si="0"/>
        <v>0</v>
      </c>
      <c r="O17" s="34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34"/>
    </row>
    <row r="18" spans="1:42" ht="15.75" customHeight="1" thickTop="1" thickBot="1" x14ac:dyDescent="0.25">
      <c r="A18" s="3"/>
      <c r="B18" s="3"/>
      <c r="C18" s="7" t="s">
        <v>25</v>
      </c>
      <c r="D18" s="5"/>
      <c r="E18" s="6"/>
      <c r="F18" s="34"/>
      <c r="G18" s="7" t="s">
        <v>25</v>
      </c>
      <c r="H18" s="14">
        <f>IF(OR(Compos!A2="Cassiopeia",Compos!A2="Cass",Compos!A2="Cassio"),1,IF(OR(Compos!A3="Cassiopeia",Compos!A3="Cass",Compos!A3="Cassio"),2,IF(OR(Compos!A4="Cassiopeia",Compos!A4="Cass",Compos!A4="Cassio"),3,IF(OR(Compos!A5="Cassiopeia",Compos!A5="Cass",Compos!A5="Cassio"),4,IF(OR(Compos!A6="Cassiopeia",Compos!A6="Cass",Compos!A6="Cassio"),5,0)))))</f>
        <v>0</v>
      </c>
      <c r="I18" s="14">
        <f>IF(OR(Compos!D2="Cassiopeia",Compos!D2="Cass",Compos!D2="Cassio"),1,IF(OR(Compos!D3="Cassiopeia",Compos!D3="Cass",Compos!D3="Cassio"),2,IF(OR(Compos!D4="Cassiopeia",Compos!D4="Cass",Compos!D4="Cassio"),3,IF(OR(Compos!D5="Cassiopeia",Compos!D5="Cass",Compos!D5="Cassio"),4,IF(OR(Compos!D6="Cassiopeia",Compos!D6="Cass",Compos!D6="Cassio"),5,0)))))</f>
        <v>0</v>
      </c>
      <c r="J18" s="34">
        <f>IF(I18=1,Pondération!B$3*(B18-D18),IF(I18=2,Pondération!B$4*(B18-D18),IF(I18=3,Pondération!B$5*(B18-D18),IF(I18=4,Pondération!B$6*(B18-D18),IF(I18=5,Pondération!B$7*(B18-D18),0)))))</f>
        <v>0</v>
      </c>
      <c r="K18" s="34">
        <f>IF(H18=5,Pondération!B$7*(A18-E18),0)</f>
        <v>0</v>
      </c>
      <c r="L18" s="34">
        <f>IF(I18=5,Pondération!B$7*(B18-D18),IF(I18=4,Pondération!B$6*(B18-D18),0))</f>
        <v>0</v>
      </c>
      <c r="M18" s="34">
        <f>IF(H18=1,Pondération!B$3*(A18-E18),IF(H18=2,Pondération!B$4*(A18-E18),IF(H18=3,Pondération!B$5*(A18-E18),IF(H18=4,Pondération!B$6*(A18-E18),IF(H18=5,Pondération!B$7*(A18-E18),0)))))</f>
        <v>0</v>
      </c>
      <c r="N18" s="34">
        <f t="shared" si="0"/>
        <v>0</v>
      </c>
      <c r="O18" s="34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34"/>
    </row>
    <row r="19" spans="1:42" ht="15.75" customHeight="1" thickTop="1" thickBot="1" x14ac:dyDescent="0.3">
      <c r="A19" s="3"/>
      <c r="B19" s="3"/>
      <c r="C19" s="7" t="s">
        <v>26</v>
      </c>
      <c r="D19" s="5"/>
      <c r="E19" s="6"/>
      <c r="F19" s="34"/>
      <c r="G19" s="7" t="s">
        <v>26</v>
      </c>
      <c r="H19" s="14">
        <f>IF(OR(Compos!A2="Cho'Gath",Compos!A2="Cho",Compos!A2="Gath",Compos!A2="CG", Compos!A2="Chogath",Compos!A2="Cho Gath"),1,IF(OR(Compos!A3="Cho'Gath",Compos!A3="Cho",Compos!A3="Gath",Compos!A3="CG", Compos!A3="Chogath",Compos!A3="Cho Gath"),2,IF(OR(Compos!A4="Cho'Gath",Compos!A4="Cho",Compos!A4="Gath",Compos!A4="CG", Compos!A4="Chogath",Compos!A4="Cho Gath"),3,IF(OR(Compos!A5="Cho'Gath",Compos!A5="Cho",Compos!A5="Gath",Compos!A5="CG", Compos!A5="Chogath",Compos!A5="Cho Gath"),4,IF(OR(Compos!A6="Cho'Gath",Compos!A6="Cho",Compos!A6="Gath",Compos!A6="CG", Compos!A6="Chogath",Compos!A6="Cho Gath"),5,0)))))</f>
        <v>0</v>
      </c>
      <c r="I19" s="19">
        <f>IF(OR(Compos!D2="Cho'Gath",Compos!D2="Cho",Compos!D2="Gath",Compos!D2="CG", Compos!D2="Chogath", Compos!D2="Cho Gath"),1,IF(OR(Compos!D3="Cho'Gath",Compos!D3="Cho",Compos!D3="Gath",Compos!D3="CG", Compos!D3="Chogath", Compos!D3="Cho Gath"),2,IF(OR(Compos!D4="Cho'Gath",Compos!D4="Cho",Compos!D4="Gath",Compos!D4="CG", Compos!D4="Chogath",Compos!D4="Cho Gath"),3,IF(OR(Compos!D5="Cho'Gath",Compos!D5="Cho",Compos!D5="Gath",Compos!D5="CG", Compos!D5="Chogath",Compos!D5="Cho Gath"),4,IF(OR(Compos!D6="Cho'Gath",Compos!D6="Cho",Compos!D6="Gath",Compos!D6="CG", Compos!D6="Chogath",Compos!D6="Cho Gath"),5,0)))))</f>
        <v>0</v>
      </c>
      <c r="J19" s="34">
        <f>IF(I19=1,Pondération!B$3*(B19-D19),IF(I19=2,Pondération!B$4*(B19-D19),IF(I19=3,Pondération!B$5*(B19-D19),IF(I19=4,Pondération!B$6*(B19-D19),IF(I19=5,Pondération!B$7*(B19-D19),0)))))</f>
        <v>0</v>
      </c>
      <c r="K19" s="34">
        <f>IF(H19=5,Pondération!B$7*(A19-E19),0)</f>
        <v>0</v>
      </c>
      <c r="L19" s="34">
        <f>IF(I19=5,Pondération!B$7*(B19-D19),IF(I19=4,Pondération!B$6*(B19-D19),0))</f>
        <v>0</v>
      </c>
      <c r="M19" s="34">
        <f>IF(H19=1,Pondération!B$3*(A19-E19),IF(H19=2,Pondération!B$4*(A19-E19),IF(H19=3,Pondération!B$5*(A19-E19),IF(H19=4,Pondération!B$6*(A19-E19),IF(H19=5,Pondération!B$7*(A19-E19),0)))))</f>
        <v>0</v>
      </c>
      <c r="N19" s="34">
        <f t="shared" si="0"/>
        <v>0</v>
      </c>
      <c r="O19" s="34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34"/>
    </row>
    <row r="20" spans="1:42" ht="15.75" customHeight="1" thickTop="1" thickBot="1" x14ac:dyDescent="0.25">
      <c r="A20" s="3"/>
      <c r="B20" s="3"/>
      <c r="C20" s="7" t="s">
        <v>27</v>
      </c>
      <c r="D20" s="5"/>
      <c r="E20" s="6"/>
      <c r="F20" s="34"/>
      <c r="G20" s="7" t="s">
        <v>27</v>
      </c>
      <c r="H20" s="14">
        <f>IF(Compos!A2="Corki",1,IF(Compos!A3="Corki",2,IF(Compos!A4="Corki",3,IF(Compos!A5="Corki",4,IF(Compos!A6="Corki",5,0)))))</f>
        <v>0</v>
      </c>
      <c r="I20" s="14">
        <f>IF(Compos!D2="Corki",1,IF(Compos!D3="Corki",2,IF(Compos!D4="Corki",3,IF(Compos!D5="Corki",4,IF(Compos!D6="Corki",5,0)))))</f>
        <v>0</v>
      </c>
      <c r="J20" s="34">
        <f>IF(I20=1,Pondération!B$3*(B20-D20),IF(I20=2,Pondération!B$4*(B20-D20),IF(I20=3,Pondération!B$5*(B20-D20),IF(I20=4,Pondération!B$6*(B20-D20),IF(I20=5,Pondération!B$7*(B20-D20),0)))))</f>
        <v>0</v>
      </c>
      <c r="K20" s="34">
        <f>IF(H20=5,Pondération!B$7*(A20-E20),0)</f>
        <v>0</v>
      </c>
      <c r="L20" s="34">
        <f>IF(I20=5,Pondération!B$7*(B20-D20),IF(I20=4,Pondération!B$6*(B20-D20),0))</f>
        <v>0</v>
      </c>
      <c r="M20" s="34">
        <f>IF(H20=1,Pondération!B$3*(A20-E20),IF(H20=2,Pondération!B$4*(A20-E20),IF(H20=3,Pondération!B$5*(A20-E20),IF(H20=4,Pondération!B$6*(A20-E20),IF(H20=5,Pondération!B$7*(A20-E20),0)))))</f>
        <v>0</v>
      </c>
      <c r="N20" s="34">
        <f t="shared" si="0"/>
        <v>0</v>
      </c>
      <c r="O20" s="34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34"/>
    </row>
    <row r="21" spans="1:42" ht="15.75" customHeight="1" thickTop="1" thickBot="1" x14ac:dyDescent="0.25">
      <c r="A21" s="3"/>
      <c r="B21" s="3"/>
      <c r="C21" s="7" t="s">
        <v>31</v>
      </c>
      <c r="D21" s="5"/>
      <c r="E21" s="6"/>
      <c r="F21" s="34"/>
      <c r="G21" s="7" t="s">
        <v>31</v>
      </c>
      <c r="H21" s="14">
        <f>IF(Compos!A2="Darius",1,IF(Compos!A3="Darius",2,IF(Compos!A4="Darius",3,IF(Compos!A5="Darius",4,IF(Compos!A6="Darius",5,0)))))</f>
        <v>0</v>
      </c>
      <c r="I21" s="14">
        <f>IF(Compos!D2="Darius",1,IF(Compos!D3="Darius",2,IF(Compos!D4="Darius",3,IF(Compos!D5="Darius",4,IF(Compos!D6="Darius",5,0)))))</f>
        <v>0</v>
      </c>
      <c r="J21" s="34">
        <f>IF(I21=1,Pondération!B$3*(B21-D21),IF(I21=2,Pondération!B$4*(B21-D21),IF(I21=3,Pondération!B$5*(B21-D21),IF(I21=4,Pondération!B$6*(B21-D21),IF(I21=5,Pondération!B$7*(B21-D21),0)))))</f>
        <v>0</v>
      </c>
      <c r="K21" s="34">
        <f>IF(H21=5,Pondération!B$7*(A21-E21),0)</f>
        <v>0</v>
      </c>
      <c r="L21" s="34">
        <f>IF(I21=5,Pondération!B$7*(B21-D21),IF(I21=4,Pondération!B$6*(B21-D21),0))</f>
        <v>0</v>
      </c>
      <c r="M21" s="34">
        <f>IF(H21=1,Pondération!B$3*(A21-E21),IF(H21=2,Pondération!B$4*(A21-E21),IF(H21=3,Pondération!B$5*(A21-E21),IF(H21=4,Pondération!B$6*(A21-E21),IF(H21=5,Pondération!B$7*(A21-E21),0)))))</f>
        <v>0</v>
      </c>
      <c r="N21" s="34">
        <f t="shared" si="0"/>
        <v>0</v>
      </c>
      <c r="O21" s="34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34"/>
    </row>
    <row r="22" spans="1:42" ht="15.75" customHeight="1" thickTop="1" thickBot="1" x14ac:dyDescent="0.25">
      <c r="A22" s="3"/>
      <c r="B22" s="3"/>
      <c r="C22" s="7" t="s">
        <v>32</v>
      </c>
      <c r="D22" s="5"/>
      <c r="E22" s="6"/>
      <c r="F22" s="34"/>
      <c r="G22" s="7" t="s">
        <v>32</v>
      </c>
      <c r="H22" s="14">
        <f>IF(Compos!A2="Diana",1,IF(Compos!A3="Diana",2,IF(Compos!A4="Diana",3,IF(Compos!A5="Diana",4,IF(Compos!A6="Diana",5,0)))))</f>
        <v>0</v>
      </c>
      <c r="I22" s="14">
        <f>IF(Compos!D2="Diana",1,IF(Compos!D3="Diana",2,IF(Compos!D4="Diana",3,IF(Compos!D5="Diana",4,IF(Compos!D6="Diana",5,0)))))</f>
        <v>0</v>
      </c>
      <c r="J22" s="34">
        <f>IF(I22=1,Pondération!B$3*(B22-D22),IF(I22=2,Pondération!B$4*(B22-D22),IF(I22=3,Pondération!B$5*(B22-D22),IF(I22=4,Pondération!B$6*(B22-D22),IF(I22=5,Pondération!B$7*(B22-D22),0)))))</f>
        <v>0</v>
      </c>
      <c r="K22" s="34">
        <f>IF(H22=5,Pondération!B$7*(A22-E22),0)</f>
        <v>0</v>
      </c>
      <c r="L22" s="34">
        <f>IF(I22=5,Pondération!B$7*(B22-D22),IF(I22=4,Pondération!B$6*(B22-D22),0))</f>
        <v>0</v>
      </c>
      <c r="M22" s="34">
        <f>IF(H22=1,Pondération!B$3*(A22-E22),IF(H22=2,Pondération!B$4*(A22-E22),IF(H22=3,Pondération!B$5*(A22-E22),IF(H22=4,Pondération!B$6*(A22-E22),IF(H22=5,Pondération!B$7*(A22-E22),0)))))</f>
        <v>0</v>
      </c>
      <c r="N22" s="34">
        <f t="shared" si="0"/>
        <v>0</v>
      </c>
      <c r="O22" s="34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34"/>
    </row>
    <row r="23" spans="1:42" ht="15.75" customHeight="1" thickTop="1" thickBot="1" x14ac:dyDescent="0.3">
      <c r="A23" s="3"/>
      <c r="B23" s="3"/>
      <c r="C23" s="7" t="s">
        <v>33</v>
      </c>
      <c r="D23" s="5"/>
      <c r="E23" s="6"/>
      <c r="F23" s="34"/>
      <c r="G23" s="7" t="s">
        <v>33</v>
      </c>
      <c r="H23" s="19">
        <f>IF(OR(Compos!A2="Dr. Mundo",Compos!A2="Mundo",Compos!A2="Dr Mundo"),1,IF(OR(Compos!A3="Dr. Mundo",Compos!A3="Mundo",Compos!A3="Dr Mundo"),2,IF(OR(Compos!A4="Dr. Mundo",Compos!A4="Mundo",Compos!A4="Dr Mundo"),3,IF(OR(Compos!A5="Dr. Mundo",Compos!A5="Mundo",Compos!A5="Dr Mundo"),4,IF(OR(Compos!A6="Dr. Mundo",Compos!A6="Mundo",Compos!A6="Dr Mundo"),5,0)))))</f>
        <v>0</v>
      </c>
      <c r="I23" s="14">
        <f>IF(OR(Compos!D2="Dr. Mundo",Compos!D2="Mundo",Compos!D2="Dr Mundo"),1,IF(OR(Compos!D3="Dr. Mundo",Compos!D3="Mundo",Compos!D3="Dr Mundo"),2,IF(OR(Compos!D4="Dr. Mundo",Compos!D4="Mundo",Compos!D4="Dr Mundo"),3,IF(OR(Compos!D5="Dr. Mundo",Compos!D5="Mundo",Compos!D5="Dr Mundo"),4,IF(OR(Compos!D6="Dr. Mundo",Compos!D6="Mundo",Compos!D6="Dr Mundo"),5,0)))))</f>
        <v>0</v>
      </c>
      <c r="J23" s="34">
        <f>IF(I23=1,Pondération!B$3*(B23-D23),IF(I23=2,Pondération!B$4*(B23-D23),IF(I23=3,Pondération!B$5*(B23-D23),IF(I23=4,Pondération!B$6*(B23-D23),IF(I23=5,Pondération!B$7*(B23-D23),0)))))</f>
        <v>0</v>
      </c>
      <c r="K23" s="34">
        <f>IF(H23=5,Pondération!B$7*(A23-E23),0)</f>
        <v>0</v>
      </c>
      <c r="L23" s="34">
        <f>IF(I23=5,Pondération!B$7*(B23-D23),IF(I23=4,Pondération!B$6*(B23-D23),0))</f>
        <v>0</v>
      </c>
      <c r="M23" s="34">
        <f>IF(H23=1,Pondération!B$3*(A23-E23),IF(H23=2,Pondération!B$4*(A23-E23),IF(H23=3,Pondération!B$5*(A23-E23),IF(H23=4,Pondération!B$6*(A23-E23),IF(H23=5,Pondération!B$7*(A23-E23),0)))))</f>
        <v>0</v>
      </c>
      <c r="N23" s="34">
        <f t="shared" si="0"/>
        <v>0</v>
      </c>
      <c r="O23" s="34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34"/>
    </row>
    <row r="24" spans="1:42" ht="15.75" customHeight="1" thickTop="1" thickBot="1" x14ac:dyDescent="0.25">
      <c r="A24" s="3"/>
      <c r="B24" s="3"/>
      <c r="C24" s="7" t="s">
        <v>34</v>
      </c>
      <c r="D24" s="5"/>
      <c r="E24" s="6"/>
      <c r="F24" s="34"/>
      <c r="G24" s="7" t="s">
        <v>34</v>
      </c>
      <c r="H24" s="14">
        <f>IF(Compos!A2="Draven",1,IF(Compos!A3="Draven",2,IF(Compos!A4="Draven",3,IF(Compos!A5="Draven",4,IF(Compos!A6="Draven",5,0)))))</f>
        <v>0</v>
      </c>
      <c r="I24" s="14">
        <f>IF(Compos!D2="Draven",1,IF(Compos!D3="Draven",2,IF(Compos!D4="Draven",3,IF(Compos!D5="Draven",4,IF(Compos!D6="Draven",5,0)))))</f>
        <v>0</v>
      </c>
      <c r="J24" s="34">
        <f>IF(I24=1,Pondération!B$3*(B24-D24),IF(I24=2,Pondération!B$4*(B24-D24),IF(I24=3,Pondération!B$5*(B24-D24),IF(I24=4,Pondération!B$6*(B24-D24),IF(I24=5,Pondération!B$7*(B24-D24),0)))))</f>
        <v>0</v>
      </c>
      <c r="K24" s="34">
        <f>IF(H24=5,Pondération!B$7*(A24-E24),0)</f>
        <v>0</v>
      </c>
      <c r="L24" s="34">
        <f>IF(I24=5,Pondération!B$7*(B24-D24),IF(I24=4,Pondération!B$6*(B24-D24),0))</f>
        <v>0</v>
      </c>
      <c r="M24" s="34">
        <f>IF(H24=1,Pondération!B$3*(A24-E24),IF(H24=2,Pondération!B$4*(A24-E24),IF(H24=3,Pondération!B$5*(A24-E24),IF(H24=4,Pondération!B$6*(A24-E24),IF(H24=5,Pondération!B$7*(A24-E24),0)))))</f>
        <v>0</v>
      </c>
      <c r="N24" s="34">
        <f t="shared" si="0"/>
        <v>0</v>
      </c>
      <c r="O24" s="34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34"/>
    </row>
    <row r="25" spans="1:42" ht="15.75" customHeight="1" thickTop="1" thickBot="1" x14ac:dyDescent="0.25">
      <c r="A25" s="3"/>
      <c r="B25" s="3"/>
      <c r="C25" s="7" t="s">
        <v>35</v>
      </c>
      <c r="D25" s="5"/>
      <c r="E25" s="6"/>
      <c r="F25" s="34"/>
      <c r="G25" s="7" t="s">
        <v>35</v>
      </c>
      <c r="H25" s="14">
        <f>IF(Compos!A2="Ekko",1,IF(Compos!A3="Ekko",2,IF(Compos!A4="Ekko",3,IF(Compos!A5="Ekko",4,IF(Compos!A6="Ekko",5,0)))))</f>
        <v>0</v>
      </c>
      <c r="I25" s="14">
        <f>IF(Compos!D2="Ekko",1,IF(Compos!D3="Ekko",2,IF(Compos!D4="Ekko",3,IF(Compos!D5="Ekko",4,IF(Compos!D6="Ekko",5,0)))))</f>
        <v>0</v>
      </c>
      <c r="J25" s="34">
        <f>IF(I25=1,Pondération!B$3*(B25-D25),IF(I25=2,Pondération!B$4*(B25-D25),IF(I25=3,Pondération!B$5*(B25-D25),IF(I25=4,Pondération!B$6*(B25-D25),IF(I25=5,Pondération!B$7*(B25-D25),0)))))</f>
        <v>0</v>
      </c>
      <c r="K25" s="34">
        <f>IF(H25=5,Pondération!B$7*(A25-E25),0)</f>
        <v>0</v>
      </c>
      <c r="L25" s="34">
        <f>IF(I25=5,Pondération!B$7*(B25-D25),IF(I25=4,Pondération!B$6*(B25-D25),0))</f>
        <v>0</v>
      </c>
      <c r="M25" s="34">
        <f>IF(H25=1,Pondération!B$3*(A25-E25),IF(H25=2,Pondération!B$4*(A25-E25),IF(H25=3,Pondération!B$5*(A25-E25),IF(H25=4,Pondération!B$6*(A25-E25),IF(H25=5,Pondération!B$7*(A25-E25),0)))))</f>
        <v>0</v>
      </c>
      <c r="N25" s="34">
        <f t="shared" si="0"/>
        <v>0</v>
      </c>
      <c r="O25" s="34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34"/>
    </row>
    <row r="26" spans="1:42" ht="15.75" customHeight="1" thickTop="1" thickBot="1" x14ac:dyDescent="0.25">
      <c r="A26" s="3"/>
      <c r="B26" s="3"/>
      <c r="C26" s="7" t="s">
        <v>36</v>
      </c>
      <c r="D26" s="5"/>
      <c r="E26" s="6"/>
      <c r="F26" s="34"/>
      <c r="G26" s="7" t="s">
        <v>36</v>
      </c>
      <c r="H26" s="14">
        <f>IF(Compos!A2="Elise",1,IF(Compos!A3="Elise",2,IF(Compos!A4="Elise",3,IF(Compos!A5="Elise",4,IF(Compos!A6="Elise",5,0)))))</f>
        <v>0</v>
      </c>
      <c r="I26" s="14">
        <f>IF(Compos!D2="Elise",1,IF(Compos!D3="Elise",2,IF(Compos!D4="Elise",3,IF(Compos!D5="Elise",4,IF(Compos!D6="Elise",5,0)))))</f>
        <v>0</v>
      </c>
      <c r="J26" s="34">
        <f>IF(I26=1,Pondération!B$3*(B26-D26),IF(I26=2,Pondération!B$4*(B26-D26),IF(I26=3,Pondération!B$5*(B26-D26),IF(I26=4,Pondération!B$6*(B26-D26),IF(I26=5,Pondération!B$7*(B26-D26),0)))))</f>
        <v>0</v>
      </c>
      <c r="K26" s="34">
        <f>IF(H26=5,Pondération!B$7*(A26-E26),0)</f>
        <v>0</v>
      </c>
      <c r="L26" s="34">
        <f>IF(I26=5,Pondération!B$7*(B26-D26),IF(I26=4,Pondération!B$6*(B26-D26),0))</f>
        <v>0</v>
      </c>
      <c r="M26" s="34">
        <f>IF(H26=1,Pondération!B$3*(A26-E26),IF(H26=2,Pondération!B$4*(A26-E26),IF(H26=3,Pondération!B$5*(A26-E26),IF(H26=4,Pondération!B$6*(A26-E26),IF(H26=5,Pondération!B$7*(A26-E26),0)))))</f>
        <v>0</v>
      </c>
      <c r="N26" s="34">
        <f t="shared" si="0"/>
        <v>0</v>
      </c>
      <c r="O26" s="34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34"/>
    </row>
    <row r="27" spans="1:42" ht="15.75" customHeight="1" thickTop="1" thickBot="1" x14ac:dyDescent="0.3">
      <c r="A27" s="3"/>
      <c r="B27" s="3"/>
      <c r="C27" s="7" t="s">
        <v>37</v>
      </c>
      <c r="D27" s="5"/>
      <c r="E27" s="6"/>
      <c r="F27" s="34"/>
      <c r="G27" s="7" t="s">
        <v>37</v>
      </c>
      <c r="H27" s="19">
        <f>IF(OR(Compos!A2="Evelynn",Compos!A2="Eve"),1,IF(OR(Compos!A3="Evelynn",Compos!A3="Eve"),2,IF(OR(Compos!A4="Evelynn",Compos!A4="Eve"),3,IF(OR(Compos!A5="Evelynn",Compos!A5="Eve"),4,IF(OR(Compos!A6="Evelynn",Compos!A6="Eve"),5,0)))))</f>
        <v>0</v>
      </c>
      <c r="I27" s="14">
        <f>IF(OR(Compos!D2="Evelynn",Compos!D2="Eve"),1,IF(OR(Compos!D3="Evelynn",Compos!D3="Eve"),2,IF(OR(Compos!D4="Evelynn",Compos!D4="Eve"),3,IF(OR(Compos!D5="Evelynn",Compos!D5="Eve"),4,IF(OR(Compos!D6="Evelynn",Compos!D6="Eve"),5,0)))))</f>
        <v>0</v>
      </c>
      <c r="J27" s="34">
        <f>IF(I27=1,Pondération!B$3*(B27-D27),IF(I27=2,Pondération!B$4*(B27-D27),IF(I27=3,Pondération!B$5*(B27-D27),IF(I27=4,Pondération!B$6*(B27-D27),IF(I27=5,Pondération!B$7*(B27-D27),0)))))</f>
        <v>0</v>
      </c>
      <c r="K27" s="34">
        <f>IF(H27=5,Pondération!B$7*(A27-E27),0)</f>
        <v>0</v>
      </c>
      <c r="L27" s="34">
        <f>IF(I27=5,Pondération!B$7*(B27-D27),IF(I27=4,Pondération!B$6*(B27-D27),0))</f>
        <v>0</v>
      </c>
      <c r="M27" s="34">
        <f>IF(H27=1,Pondération!B$3*(A27-E27),IF(H27=2,Pondération!B$4*(A27-E27),IF(H27=3,Pondération!B$5*(A27-E27),IF(H27=4,Pondération!B$6*(A27-E27),IF(H27=5,Pondération!B$7*(A27-E27),0)))))</f>
        <v>0</v>
      </c>
      <c r="N27" s="34">
        <f t="shared" si="0"/>
        <v>0</v>
      </c>
      <c r="O27" s="34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34"/>
    </row>
    <row r="28" spans="1:42" ht="15.75" customHeight="1" thickTop="1" thickBot="1" x14ac:dyDescent="0.25">
      <c r="A28" s="3"/>
      <c r="B28" s="3"/>
      <c r="C28" s="7" t="s">
        <v>38</v>
      </c>
      <c r="D28" s="5"/>
      <c r="E28" s="6"/>
      <c r="F28" s="34"/>
      <c r="G28" s="7" t="s">
        <v>38</v>
      </c>
      <c r="H28" s="14">
        <f>IF(OR(Compos!A2="Ezreal",Compos!A2="Ez"),1,IF(OR(Compos!A3="Ezreal",Compos!A3="Ez"),2,IF(OR(Compos!A4="Ezreal",Compos!A4="Ez"),3,IF(OR(Compos!A5="Ezreal",Compos!A5="Ez"),4,IF(OR(Compos!A6="Ezreal",Compos!A6="Ez"),5,0)))))</f>
        <v>0</v>
      </c>
      <c r="I28" s="14">
        <f>IF(OR(Compos!D2="Ezreal",Compos!D2="Ez"),1,IF(OR(Compos!D3="Ezreal",Compos!D3="Ez"),2,IF(OR(Compos!D4="Ezreal",Compos!D4="Ez"),3,IF(OR(Compos!D5="Ezreal",Compos!D5="Ez"),4,IF(OR(Compos!D6="Ezreal",Compos!D6="Ez"),5,0)))))</f>
        <v>0</v>
      </c>
      <c r="J28" s="34">
        <f>IF(I28=1,Pondération!B$3*(B28-D28),IF(I28=2,Pondération!B$4*(B28-D28),IF(I28=3,Pondération!B$5*(B28-D28),IF(I28=4,Pondération!B$6*(B28-D28),IF(I28=5,Pondération!B$7*(B28-D28),0)))))</f>
        <v>0</v>
      </c>
      <c r="K28" s="34">
        <f>IF(H28=5,Pondération!B$7*(A28-E28),0)</f>
        <v>0</v>
      </c>
      <c r="L28" s="34">
        <f>IF(I28=5,Pondération!B$7*(B28-D28),IF(I28=4,Pondération!B$6*(B28-D28),0))</f>
        <v>0</v>
      </c>
      <c r="M28" s="34">
        <f>IF(H28=1,Pondération!B$3*(A28-E28),IF(H28=2,Pondération!B$4*(A28-E28),IF(H28=3,Pondération!B$5*(A28-E28),IF(H28=4,Pondération!B$6*(A28-E28),IF(H28=5,Pondération!B$7*(A28-E28),0)))))</f>
        <v>0</v>
      </c>
      <c r="N28" s="34">
        <f t="shared" si="0"/>
        <v>0</v>
      </c>
      <c r="O28" s="34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34"/>
    </row>
    <row r="29" spans="1:42" ht="15.75" customHeight="1" thickTop="1" thickBot="1" x14ac:dyDescent="0.3">
      <c r="A29" s="3"/>
      <c r="B29" s="3"/>
      <c r="C29" s="7" t="s">
        <v>39</v>
      </c>
      <c r="D29" s="5"/>
      <c r="E29" s="6"/>
      <c r="F29" s="34"/>
      <c r="G29" s="7" t="s">
        <v>39</v>
      </c>
      <c r="H29" s="19">
        <f>IF(OR(Compos!A2="Fiddlesticks",Compos!A2="Sticks",Compos!A2="Fiddle"),1,IF(OR(Compos!A3="Fiddlesticks",Compos!A3="Sticks",Compos!A3="Fiddle"),2,IF(OR(Compos!A4="Fiddlesticks",Compos!A4="Sticks",Compos!A4="Fiddle"),3,IF(OR(Compos!A5="Fiddlesticks",Compos!A5="Sticks",Compos!A5="Fiddle"),4,IF(OR(Compos!A6="Fiddlesticks",Compos!A6="Sticks",Compos!A6="Fiddle"),5,0)))))</f>
        <v>0</v>
      </c>
      <c r="I29" s="14">
        <f>IF(OR(Compos!D2="Fiddlesticks",Compos!D2="Sticks",Compos!D2="Fiddle"),1,IF(OR(Compos!D3="Fiddlesticks",Compos!D3="Sticks",Compos!D3="Fiddle"),2,IF(OR(Compos!D4="Fiddlesticks",Compos!D4="Sticks",Compos!D4="Fiddle"),3,IF(OR(Compos!D5="Fiddlesticks",Compos!D5="Sticks",Compos!D5="Fiddle"),4,IF(OR(Compos!D6="Fiddlesticks",Compos!D6="Sticks",Compos!D6="Fiddle"),5,0)))))</f>
        <v>0</v>
      </c>
      <c r="J29" s="34">
        <f>IF(I29=1,Pondération!B$3*(B29-D29),IF(I29=2,Pondération!B$4*(B29-D29),IF(I29=3,Pondération!B$5*(B29-D29),IF(I29=4,Pondération!B$6*(B29-D29),IF(I29=5,Pondération!B$7*(B29-D29),0)))))</f>
        <v>0</v>
      </c>
      <c r="K29" s="34">
        <f>IF(H29=5,Pondération!B$7*(A29-E29),0)</f>
        <v>0</v>
      </c>
      <c r="L29" s="34">
        <f>IF(I29=5,Pondération!B$7*(B29-D29),IF(I29=4,Pondération!B$6*(B29-D29),0))</f>
        <v>0</v>
      </c>
      <c r="M29" s="34">
        <f>IF(H29=1,Pondération!B$3*(A29-E29),IF(H29=2,Pondération!B$4*(A29-E29),IF(H29=3,Pondération!B$5*(A29-E29),IF(H29=4,Pondération!B$6*(A29-E29),IF(H29=5,Pondération!B$7*(A29-E29),0)))))</f>
        <v>0</v>
      </c>
      <c r="N29" s="34">
        <f t="shared" si="0"/>
        <v>0</v>
      </c>
      <c r="O29" s="34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34"/>
    </row>
    <row r="30" spans="1:42" ht="15.75" customHeight="1" thickTop="1" thickBot="1" x14ac:dyDescent="0.25">
      <c r="A30" s="3"/>
      <c r="B30" s="3"/>
      <c r="C30" s="7" t="s">
        <v>40</v>
      </c>
      <c r="D30" s="5"/>
      <c r="E30" s="6"/>
      <c r="F30" s="34"/>
      <c r="G30" s="7" t="s">
        <v>40</v>
      </c>
      <c r="H30" s="14">
        <f>IF(Compos!A2="Fiora",1,IF(Compos!A3="Fiora",2,IF(Compos!A4="Fiora",3,IF(Compos!A5="Fiora",4,IF(Compos!A6="Fiora",5,0)))))</f>
        <v>0</v>
      </c>
      <c r="I30" s="14">
        <f>IF(Compos!D2="Fiora",1,IF(Compos!D3="Fiora",2,IF(Compos!D4="Fiora",3,IF(Compos!D5="Fiora",4,IF(Compos!D6="Fiora",5,0)))))</f>
        <v>0</v>
      </c>
      <c r="J30" s="34">
        <f>IF(I30=1,Pondération!B$3*(B30-D30),IF(I30=2,Pondération!B$4*(B30-D30),IF(I30=3,Pondération!B$5*(B30-D30),IF(I30=4,Pondération!B$6*(B30-D30),IF(I30=5,Pondération!B$7*(B30-D30),0)))))</f>
        <v>0</v>
      </c>
      <c r="K30" s="34">
        <f>IF(H30=5,Pondération!B$7*(A30-E30),0)</f>
        <v>0</v>
      </c>
      <c r="L30" s="34">
        <f>IF(I30=5,Pondération!B$7*(B30-D30),IF(I30=4,Pondération!B$6*(B30-D30),0))</f>
        <v>0</v>
      </c>
      <c r="M30" s="34">
        <f>IF(H30=1,Pondération!B$3*(A30-E30),IF(H30=2,Pondération!B$4*(A30-E30),IF(H30=3,Pondération!B$5*(A30-E30),IF(H30=4,Pondération!B$6*(A30-E30),IF(H30=5,Pondération!B$7*(A30-E30),0)))))</f>
        <v>0</v>
      </c>
      <c r="N30" s="34">
        <f t="shared" si="0"/>
        <v>0</v>
      </c>
      <c r="O30" s="34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34"/>
    </row>
    <row r="31" spans="1:42" ht="15.75" customHeight="1" thickTop="1" thickBot="1" x14ac:dyDescent="0.25">
      <c r="A31" s="3"/>
      <c r="B31" s="3"/>
      <c r="C31" s="7" t="s">
        <v>41</v>
      </c>
      <c r="D31" s="5"/>
      <c r="E31" s="6"/>
      <c r="F31" s="34"/>
      <c r="G31" s="7" t="s">
        <v>41</v>
      </c>
      <c r="H31" s="14">
        <f>IF(Compos!A2="Fizz",1,IF(Compos!A3="Fizz",2,IF(Compos!A4="Fizz",3,IF(Compos!A5="Fizz",4,IF(Compos!A6="Fizz",5,0)))))</f>
        <v>0</v>
      </c>
      <c r="I31" s="14">
        <f>IF(Compos!D2="Fizz",1,IF(Compos!D3="Fizz",2,IF(Compos!D4="Fizz",3,IF(Compos!D5="Fizz",4,IF(Compos!D6="Fizz",5,0)))))</f>
        <v>0</v>
      </c>
      <c r="J31" s="34">
        <f>IF(I31=1,Pondération!B$3*(B31-D31),IF(I31=2,Pondération!B$4*(B31-D31),IF(I31=3,Pondération!B$5*(B31-D31),IF(I31=4,Pondération!B$6*(B31-D31),IF(I31=5,Pondération!B$7*(B31-D31),0)))))</f>
        <v>0</v>
      </c>
      <c r="K31" s="34">
        <f>IF(H31=5,Pondération!B$7*(A31-E31),0)</f>
        <v>0</v>
      </c>
      <c r="L31" s="34">
        <f>IF(I31=5,Pondération!B$7*(B31-D31),IF(I31=4,Pondération!B$6*(B31-D31),0))</f>
        <v>0</v>
      </c>
      <c r="M31" s="34">
        <f>IF(H31=1,Pondération!B$3*(A31-E31),IF(H31=2,Pondération!B$4*(A31-E31),IF(H31=3,Pondération!B$5*(A31-E31),IF(H31=4,Pondération!B$6*(A31-E31),IF(H31=5,Pondération!B$7*(A31-E31),0)))))</f>
        <v>0</v>
      </c>
      <c r="N31" s="34">
        <f t="shared" si="0"/>
        <v>0</v>
      </c>
      <c r="O31" s="34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34"/>
    </row>
    <row r="32" spans="1:42" ht="15.75" customHeight="1" thickTop="1" thickBot="1" x14ac:dyDescent="0.25">
      <c r="A32" s="3"/>
      <c r="B32" s="3"/>
      <c r="C32" s="7" t="s">
        <v>42</v>
      </c>
      <c r="D32" s="5"/>
      <c r="E32" s="6"/>
      <c r="F32" s="34"/>
      <c r="G32" s="7" t="s">
        <v>42</v>
      </c>
      <c r="H32" s="14">
        <f>IF(Compos!A2="Galio",1,IF(Compos!A3="Galio",2,IF(Compos!A4="Galio",3,IF(Compos!A5="Galio",4,IF(Compos!A6="Galio",5,0)))))</f>
        <v>0</v>
      </c>
      <c r="I32" s="14">
        <f>IF(Compos!D2="Galio",1,IF(Compos!D3="Galio",2,IF(Compos!D4="Galio",3,IF(Compos!D5="Galio",4,IF(Compos!D6="Galio",5,0)))))</f>
        <v>0</v>
      </c>
      <c r="J32" s="34">
        <f>IF(I32=1,Pondération!B$3*(B32-D32),IF(I32=2,Pondération!B$4*(B32-D32),IF(I32=3,Pondération!B$5*(B32-D32),IF(I32=4,Pondération!B$6*(B32-D32),IF(I32=5,Pondération!B$7*(B32-D32),0)))))</f>
        <v>0</v>
      </c>
      <c r="K32" s="34">
        <f>IF(H32=5,Pondération!B$7*(A32-E32),0)</f>
        <v>0</v>
      </c>
      <c r="L32" s="34">
        <f>IF(I32=5,Pondération!B$7*(B32-D32),IF(I32=4,Pondération!B$6*(B32-D32),0))</f>
        <v>0</v>
      </c>
      <c r="M32" s="34">
        <f>IF(H32=1,Pondération!B$3*(A32-E32),IF(H32=2,Pondération!B$4*(A32-E32),IF(H32=3,Pondération!B$5*(A32-E32),IF(H32=4,Pondération!B$6*(A32-E32),IF(H32=5,Pondération!B$7*(A32-E32),0)))))</f>
        <v>0</v>
      </c>
      <c r="N32" s="34">
        <f t="shared" si="0"/>
        <v>0</v>
      </c>
      <c r="O32" s="34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34"/>
    </row>
    <row r="33" spans="1:42" ht="15.75" customHeight="1" thickTop="1" thickBot="1" x14ac:dyDescent="0.3">
      <c r="A33" s="3"/>
      <c r="B33" s="3"/>
      <c r="C33" s="7" t="s">
        <v>43</v>
      </c>
      <c r="D33" s="5"/>
      <c r="E33" s="6"/>
      <c r="F33" s="34"/>
      <c r="G33" s="7" t="s">
        <v>43</v>
      </c>
      <c r="H33" s="19">
        <f>IF(OR(Compos!A2="Gangplank",Compos!A2="GP",Compos!A2="Plank"),1,IF(OR(Compos!A3="Gangplank",Compos!A3="GP",Compos!A3="Plank"),2,IF(OR(Compos!A4="Gangplank",Compos!A4="GP",Compos!A4="Plank"),3,IF(OR(Compos!A5="Gangplank",Compos!A5="GP",Compos!A5="Plank"),4,IF(OR(Compos!A6="Gangplank",Compos!A6="GP",Compos!A6="Plank"),5,0)))))</f>
        <v>0</v>
      </c>
      <c r="I33" s="14">
        <f>IF(OR(Compos!D2="Gangplank",Compos!D2="GP",Compos!D2="Plank"),1,IF(OR(Compos!D3="Gangplank",Compos!D3="GP",Compos!D3="Plank"),2,IF(OR(Compos!D4="Gangplank",Compos!D4="GP",Compos!D4="Plank"),3,IF(OR(Compos!D5="Gangplank",Compos!D5="GP",Compos!D5="Plank"),4,IF(OR(Compos!D6="Gangplank",Compos!D6="GP",Compos!D6="Plank"),5,0)))))</f>
        <v>0</v>
      </c>
      <c r="J33" s="34">
        <f>IF(I33=1,Pondération!B$3*(B33-D33),IF(I33=2,Pondération!B$4*(B33-D33),IF(I33=3,Pondération!B$5*(B33-D33),IF(I33=4,Pondération!B$6*(B33-D33),IF(I33=5,Pondération!B$7*(B33-D33),0)))))</f>
        <v>0</v>
      </c>
      <c r="K33" s="34">
        <f>IF(H33=5,Pondération!B$7*(A33-E33),0)</f>
        <v>0</v>
      </c>
      <c r="L33" s="34">
        <f>IF(I33=5,Pondération!B$7*(B33-D33),IF(I33=4,Pondération!B$6*(B33-D33),0))</f>
        <v>0</v>
      </c>
      <c r="M33" s="34">
        <f>IF(H33=1,Pondération!B$3*(A33-E33),IF(H33=2,Pondération!B$4*(A33-E33),IF(H33=3,Pondération!B$5*(A33-E33),IF(H33=4,Pondération!B$6*(A33-E33),IF(H33=5,Pondération!B$7*(A33-E33),0)))))</f>
        <v>0</v>
      </c>
      <c r="N33" s="34">
        <f t="shared" si="0"/>
        <v>0</v>
      </c>
      <c r="O33" s="34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34"/>
    </row>
    <row r="34" spans="1:42" ht="15.75" customHeight="1" thickTop="1" thickBot="1" x14ac:dyDescent="0.25">
      <c r="A34" s="3"/>
      <c r="B34" s="3"/>
      <c r="C34" s="7" t="s">
        <v>44</v>
      </c>
      <c r="D34" s="5"/>
      <c r="E34" s="6"/>
      <c r="F34" s="34"/>
      <c r="G34" s="7" t="s">
        <v>44</v>
      </c>
      <c r="H34" s="14">
        <f>IF(Compos!A2="Garen",1,IF(Compos!A3="Garen",2,IF(Compos!A4="Garen",3,IF(Compos!A5="Garen",4,IF(Compos!A6="Garen",5,0)))))</f>
        <v>0</v>
      </c>
      <c r="I34" s="14">
        <f>IF(Compos!D2="Garen",1,IF(Compos!D3="Garen",2,IF(Compos!D4="Garen",3,IF(Compos!D5="Garen",4,IF(Compos!D6="Garen",5,0)))))</f>
        <v>0</v>
      </c>
      <c r="J34" s="34">
        <f>IF(I34=1,Pondération!B$3*(B34-D34),IF(I34=2,Pondération!B$4*(B34-D34),IF(I34=3,Pondération!B$5*(B34-D34),IF(I34=4,Pondération!B$6*(B34-D34),IF(I34=5,Pondération!B$7*(B34-D34),0)))))</f>
        <v>0</v>
      </c>
      <c r="K34" s="34">
        <f>IF(H34=5,Pondération!B$7*(A34-E34),0)</f>
        <v>0</v>
      </c>
      <c r="L34" s="34">
        <f>IF(I34=5,Pondération!B$7*(B34-D34),IF(I34=4,Pondération!B$6*(B34-D34),0))</f>
        <v>0</v>
      </c>
      <c r="M34" s="34">
        <f>IF(H34=1,Pondération!B$3*(A34-E34),IF(H34=2,Pondération!B$4*(A34-E34),IF(H34=3,Pondération!B$5*(A34-E34),IF(H34=4,Pondération!B$6*(A34-E34),IF(H34=5,Pondération!B$7*(A34-E34),0)))))</f>
        <v>0</v>
      </c>
      <c r="N34" s="34">
        <f t="shared" si="0"/>
        <v>0</v>
      </c>
      <c r="O34" s="34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34"/>
    </row>
    <row r="35" spans="1:42" ht="15.75" customHeight="1" thickTop="1" thickBot="1" x14ac:dyDescent="0.25">
      <c r="A35" s="3"/>
      <c r="B35" s="3"/>
      <c r="C35" s="7" t="s">
        <v>45</v>
      </c>
      <c r="D35" s="5"/>
      <c r="E35" s="6"/>
      <c r="F35" s="34"/>
      <c r="G35" s="7" t="s">
        <v>45</v>
      </c>
      <c r="H35" s="14">
        <f>IF(Compos!A2="Gnar",1,IF(Compos!A3="Gnar",2,IF(Compos!A4="Gnar",3,IF(Compos!A5="Gnar",4,IF(Compos!A6="Gnar",5,0)))))</f>
        <v>0</v>
      </c>
      <c r="I35" s="14">
        <f>IF(Compos!D2="Gnar",1,IF(Compos!D3="Gnar",2,IF(Compos!D4="Gnar",3,IF(Compos!D5="Gnar",4,IF(Compos!D6="Gnar",5,0)))))</f>
        <v>0</v>
      </c>
      <c r="J35" s="34">
        <f>IF(I35=1,Pondération!B$3*(B35-D35),IF(I35=2,Pondération!B$4*(B35-D35),IF(I35=3,Pondération!B$5*(B35-D35),IF(I35=4,Pondération!B$6*(B35-D35),IF(I35=5,Pondération!B$7*(B35-D35),0)))))</f>
        <v>0</v>
      </c>
      <c r="K35" s="34">
        <f>IF(H35=5,Pondération!B$7*(A35-E35),0)</f>
        <v>0</v>
      </c>
      <c r="L35" s="34">
        <f>IF(I35=5,Pondération!B$7*(B35-D35),IF(I35=4,Pondération!B$6*(B35-D35),0))</f>
        <v>0</v>
      </c>
      <c r="M35" s="34">
        <f>IF(H35=1,Pondération!B$3*(A35-E35),IF(H35=2,Pondération!B$4*(A35-E35),IF(H35=3,Pondération!B$5*(A35-E35),IF(H35=4,Pondération!B$6*(A35-E35),IF(H35=5,Pondération!B$7*(A35-E35),0)))))</f>
        <v>0</v>
      </c>
      <c r="N35" s="34">
        <f t="shared" si="0"/>
        <v>0</v>
      </c>
      <c r="O35" s="34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34"/>
    </row>
    <row r="36" spans="1:42" ht="15.75" customHeight="1" thickTop="1" thickBot="1" x14ac:dyDescent="0.25">
      <c r="A36" s="3"/>
      <c r="B36" s="3"/>
      <c r="C36" s="7" t="s">
        <v>46</v>
      </c>
      <c r="D36" s="5"/>
      <c r="E36" s="6"/>
      <c r="F36" s="34"/>
      <c r="G36" s="7" t="s">
        <v>46</v>
      </c>
      <c r="H36" s="14">
        <f>IF(OR(Compos!A2="Gragas",Compos!A2="Grag"),1,IF(OR(Compos!A3="Gragas",Compos!A3="Grag"),2,IF(OR(Compos!A4="Gragas",Compos!A4="Grag"),3,IF(OR(Compos!A5="Gragas",Compos!A5="Grag"),4,IF(OR(Compos!A6="Gragas",Compos!A6="Grag"),5,0)))))</f>
        <v>0</v>
      </c>
      <c r="I36" s="14">
        <f>IF(OR(Compos!D2="Gragas",Compos!D2="Grag"),1,IF(OR(Compos!D3="Gragas",Compos!D3="Grag"),2,IF(OR(Compos!D4="Gragas",Compos!D4="Grag"),3,IF(OR(Compos!D5="Gragas",Compos!D5="Grag"),4,IF(OR(Compos!D6="Gragas",Compos!D6="Grag"),5,0)))))</f>
        <v>0</v>
      </c>
      <c r="J36" s="34">
        <f>IF(I36=1,Pondération!B$3*(B36-D36),IF(I36=2,Pondération!B$4*(B36-D36),IF(I36=3,Pondération!B$5*(B36-D36),IF(I36=4,Pondération!B$6*(B36-D36),IF(I36=5,Pondération!B$7*(B36-D36),0)))))</f>
        <v>0</v>
      </c>
      <c r="K36" s="34">
        <f>IF(H36=5,Pondération!B$7*(A36-E36),0)</f>
        <v>0</v>
      </c>
      <c r="L36" s="34">
        <f>IF(I36=5,Pondération!B$7*(B36-D36),IF(I36=4,Pondération!B$6*(B36-D36),0))</f>
        <v>0</v>
      </c>
      <c r="M36" s="34">
        <f>IF(H36=1,Pondération!B$3*(A36-E36),IF(H36=2,Pondération!B$4*(A36-E36),IF(H36=3,Pondération!B$5*(A36-E36),IF(H36=4,Pondération!B$6*(A36-E36),IF(H36=5,Pondération!B$7*(A36-E36),0)))))</f>
        <v>0</v>
      </c>
      <c r="N36" s="34">
        <f t="shared" si="0"/>
        <v>0</v>
      </c>
      <c r="O36" s="34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34"/>
    </row>
    <row r="37" spans="1:42" ht="15.75" customHeight="1" thickTop="1" thickBot="1" x14ac:dyDescent="0.25">
      <c r="A37" s="3"/>
      <c r="B37" s="3"/>
      <c r="C37" s="7" t="s">
        <v>47</v>
      </c>
      <c r="D37" s="5"/>
      <c r="E37" s="6"/>
      <c r="F37" s="34"/>
      <c r="G37" s="7" t="s">
        <v>47</v>
      </c>
      <c r="H37" s="14">
        <f>IF(Compos!A2="Graves",1,IF(Compos!A3="Graves",2,IF(Compos!A4="Graves",3,IF(Compos!A5="Graves",4,IF(Compos!A6="Graves",5,0)))))</f>
        <v>0</v>
      </c>
      <c r="I37" s="14">
        <f>IF(Compos!D2="Graves",1,IF(Compos!D3="Graves",2,IF(Compos!D4="Graves",3,IF(Compos!D5="Graves",4,IF(Compos!D6="Graves",5,0)))))</f>
        <v>0</v>
      </c>
      <c r="J37" s="34">
        <f>IF(I37=1,Pondération!B$3*(B37-D37),IF(I37=2,Pondération!B$4*(B37-D37),IF(I37=3,Pondération!B$5*(B37-D37),IF(I37=4,Pondération!B$6*(B37-D37),IF(I37=5,Pondération!B$7*(B37-D37),0)))))</f>
        <v>0</v>
      </c>
      <c r="K37" s="34">
        <f>IF(H37=5,Pondération!B$7*(A37-E37),0)</f>
        <v>0</v>
      </c>
      <c r="L37" s="34">
        <f>IF(I37=5,Pondération!B$7*(B37-D37),IF(I37=4,Pondération!B$6*(B37-D37),0))</f>
        <v>0</v>
      </c>
      <c r="M37" s="34">
        <f>IF(H37=1,Pondération!B$3*(A37-E37),IF(H37=2,Pondération!B$4*(A37-E37),IF(H37=3,Pondération!B$5*(A37-E37),IF(H37=4,Pondération!B$6*(A37-E37),IF(H37=5,Pondération!B$7*(A37-E37),0)))))</f>
        <v>0</v>
      </c>
      <c r="N37" s="34">
        <f t="shared" si="0"/>
        <v>0</v>
      </c>
      <c r="O37" s="34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34"/>
    </row>
    <row r="38" spans="1:42" ht="15.75" customHeight="1" thickTop="1" thickBot="1" x14ac:dyDescent="0.25">
      <c r="A38" s="3"/>
      <c r="B38" s="3"/>
      <c r="C38" s="7" t="s">
        <v>48</v>
      </c>
      <c r="D38" s="5"/>
      <c r="E38" s="6"/>
      <c r="F38" s="34"/>
      <c r="G38" s="7" t="s">
        <v>48</v>
      </c>
      <c r="H38" s="14">
        <f>IF(OR(Compos!A2="Hecarim",Compos!A2="Heca"),1,IF(OR(Compos!A3="Hecarim",Compos!A3="Heca"),2,IF(OR(Compos!A4="Hecarim",Compos!A4="Heca"),3,IF(OR(Compos!A5="Hecarim",Compos!A5="Heca"),4,IF(OR(Compos!A6="Hecarim",Compos!A6="Heca"),5,0)))))</f>
        <v>0</v>
      </c>
      <c r="I38" s="14">
        <f>IF(OR(Compos!D2="Hecarim",Compos!D2="Heca"),1,IF(OR(Compos!D3="Hecarim",Compos!D3="Heca"),2,IF(OR(Compos!D4="Hecarim",Compos!D4="Heca"),3,IF(OR(Compos!D5="Hecarim",Compos!D5="Heca"),4,IF(OR(Compos!D6="Hecarim",Compos!D6="Heca"),5,0)))))</f>
        <v>0</v>
      </c>
      <c r="J38" s="34">
        <f>IF(I38=1,Pondération!B$3*(B38-D38),IF(I38=2,Pondération!B$4*(B38-D38),IF(I38=3,Pondération!B$5*(B38-D38),IF(I38=4,Pondération!B$6*(B38-D38),IF(I38=5,Pondération!B$7*(B38-D38),0)))))</f>
        <v>0</v>
      </c>
      <c r="K38" s="34">
        <f>IF(H38=5,Pondération!B$7*(A38-E38),0)</f>
        <v>0</v>
      </c>
      <c r="L38" s="34">
        <f>IF(I38=5,Pondération!B$7*(B38-D38),IF(I38=4,Pondération!B$6*(B38-D38),0))</f>
        <v>0</v>
      </c>
      <c r="M38" s="34">
        <f>IF(H38=1,Pondération!B$3*(A38-E38),IF(H38=2,Pondération!B$4*(A38-E38),IF(H38=3,Pondération!B$5*(A38-E38),IF(H38=4,Pondération!B$6*(A38-E38),IF(H38=5,Pondération!B$7*(A38-E38),0)))))</f>
        <v>0</v>
      </c>
      <c r="N38" s="34">
        <f t="shared" si="0"/>
        <v>0</v>
      </c>
      <c r="O38" s="34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34"/>
    </row>
    <row r="39" spans="1:42" ht="15.75" customHeight="1" thickTop="1" thickBot="1" x14ac:dyDescent="0.3">
      <c r="A39" s="3"/>
      <c r="B39" s="3"/>
      <c r="C39" s="7" t="s">
        <v>49</v>
      </c>
      <c r="D39" s="5"/>
      <c r="E39" s="6"/>
      <c r="F39" s="34"/>
      <c r="G39" s="7" t="s">
        <v>49</v>
      </c>
      <c r="H39" s="19">
        <f>IF(OR(Compos!A2="Heimerdinger",Compos!A2="Heimer",Compos!A2="Dinger"),1,IF(OR(Compos!A3="Heimerdinger",Compos!A3="Heimer",Compos!A3="Dinger"),2,IF(OR(Compos!A4="Heimerdinger",Compos!A4="Heimer",Compos!A4="Dinger"),3,IF(OR(Compos!A5="Heimerdinger",Compos!A5="Heimer",Compos!A5="Dinger"),4,IF(OR(Compos!A6="Heimerdinger",Compos!A6="Heimer",Compos!A6="Dinger"),5,0)))))</f>
        <v>0</v>
      </c>
      <c r="I39" s="14">
        <f>IF(OR(Compos!D2="Heimerdinger",Compos!D2="Heimer",Compos!D2="Dinger"),1,IF(OR(Compos!D3="Heimerdinger",Compos!D3="Heimer",Compos!D3="Dinger"),2,IF(OR(Compos!D4="Heimerdinger",Compos!D4="Heimer",Compos!D4="Dinger"),3,IF(OR(Compos!D5="Heimerdinger",Compos!D5="Heimer",Compos!D5="Dinger"),4,IF(OR(Compos!D6="Heimerdinger",Compos!D6="Heimer",Compos!D6="Dinger"),5,0)))))</f>
        <v>0</v>
      </c>
      <c r="J39" s="34">
        <f>IF(I39=1,Pondération!B$3*(B39-D39),IF(I39=2,Pondération!B$4*(B39-D39),IF(I39=3,Pondération!B$5*(B39-D39),IF(I39=4,Pondération!B$6*(B39-D39),IF(I39=5,Pondération!B$7*(B39-D39),0)))))</f>
        <v>0</v>
      </c>
      <c r="K39" s="34">
        <f>IF(H39=5,Pondération!B$7*(A39-E39),0)</f>
        <v>0</v>
      </c>
      <c r="L39" s="34">
        <f>IF(I39=5,Pondération!B$7*(B39-D39),IF(I39=4,Pondération!B$6*(B39-D39),0))</f>
        <v>0</v>
      </c>
      <c r="M39" s="34">
        <f>IF(H39=1,Pondération!B$3*(A39-E39),IF(H39=2,Pondération!B$4*(A39-E39),IF(H39=3,Pondération!B$5*(A39-E39),IF(H39=4,Pondération!B$6*(A39-E39),IF(H39=5,Pondération!B$7*(A39-E39),0)))))</f>
        <v>0</v>
      </c>
      <c r="N39" s="34">
        <f t="shared" si="0"/>
        <v>0</v>
      </c>
      <c r="O39" s="34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34"/>
    </row>
    <row r="40" spans="1:42" ht="15.75" customHeight="1" thickTop="1" thickBot="1" x14ac:dyDescent="0.25">
      <c r="A40" s="3"/>
      <c r="B40" s="3"/>
      <c r="C40" s="7" t="s">
        <v>50</v>
      </c>
      <c r="D40" s="5"/>
      <c r="E40" s="6"/>
      <c r="F40" s="34"/>
      <c r="G40" s="7" t="s">
        <v>50</v>
      </c>
      <c r="H40" s="14">
        <f>IF(Compos!A2="Illaoi",1,IF(Compos!A3="Illaoi",2,IF(Compos!A4="Illaoi",3,IF(Compos!A5="Illaoi",4,IF(Compos!A6="Illaoi",5,0)))))</f>
        <v>0</v>
      </c>
      <c r="I40" s="14">
        <f>IF(Compos!D2="Illaoi",1,IF(Compos!D3="Illaoi",2,IF(Compos!D4="Illaoi",3,IF(Compos!D5="Illaoi",4,IF(Compos!D6="Illaoi",5,0)))))</f>
        <v>0</v>
      </c>
      <c r="J40" s="34">
        <f>IF(I40=1,Pondération!B$3*(B40-D40),IF(I40=2,Pondération!B$4*(B40-D40),IF(I40=3,Pondération!B$5*(B40-D40),IF(I40=4,Pondération!B$6*(B40-D40),IF(I40=5,Pondération!B$7*(B40-D40),0)))))</f>
        <v>0</v>
      </c>
      <c r="K40" s="34">
        <f>IF(H40=5,Pondération!B$7*(A40-E40),0)</f>
        <v>0</v>
      </c>
      <c r="L40" s="34">
        <f>IF(I40=5,Pondération!B$7*(B40-D40),IF(I40=4,Pondération!B$6*(B40-D40),0))</f>
        <v>0</v>
      </c>
      <c r="M40" s="34">
        <f>IF(H40=1,Pondération!B$3*(A40-E40),IF(H40=2,Pondération!B$4*(A40-E40),IF(H40=3,Pondération!B$5*(A40-E40),IF(H40=4,Pondération!B$6*(A40-E40),IF(H40=5,Pondération!B$7*(A40-E40),0)))))</f>
        <v>0</v>
      </c>
      <c r="N40" s="34">
        <f t="shared" si="0"/>
        <v>0</v>
      </c>
      <c r="O40" s="34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4"/>
    </row>
    <row r="41" spans="1:42" ht="17.25" thickTop="1" thickBot="1" x14ac:dyDescent="0.25">
      <c r="A41" s="3"/>
      <c r="B41" s="3"/>
      <c r="C41" s="7" t="s">
        <v>51</v>
      </c>
      <c r="D41" s="5"/>
      <c r="E41" s="6"/>
      <c r="F41" s="34"/>
      <c r="G41" s="7" t="s">
        <v>51</v>
      </c>
      <c r="H41" s="14">
        <f>IF(OR(Compos!A2="Irelia",Compos!A2="Ire"),1,IF(OR(Compos!A3="Irelia",Compos!A3="Ire"),2,IF(OR(Compos!A4="Irelia",Compos!A4="Ire"),3,IF(OR(Compos!A5="Irelia",Compos!A5="Ire"),4,IF(OR(Compos!A6="Irelia",Compos!A6="Ire"),5,0)))))</f>
        <v>0</v>
      </c>
      <c r="I41" s="14">
        <f>IF(OR(Compos!D2="Irelia",Compos!D2="Ire"),1,IF(OR(Compos!D3="Irelia",Compos!D3="Ire"),2,IF(OR(Compos!D4="Irelia",Compos!D4="Ire"),3,IF(OR(Compos!D5="Irelia",Compos!D5="Ire"),4,IF(OR(Compos!D6="Irelia",Compos!D6="Ire"),5,0)))))</f>
        <v>0</v>
      </c>
      <c r="J41" s="34">
        <f>IF(I41=1,Pondération!B$3*(B41-D41),IF(I41=2,Pondération!B$4*(B41-D41),IF(I41=3,Pondération!B$5*(B41-D41),IF(I41=4,Pondération!B$6*(B41-D41),IF(I41=5,Pondération!B$7*(B41-D41),0)))))</f>
        <v>0</v>
      </c>
      <c r="K41" s="34">
        <f>IF(H41=5,Pondération!B$7*(A41-E41),0)</f>
        <v>0</v>
      </c>
      <c r="L41" s="34">
        <f>IF(I41=5,Pondération!B$7*(B41-D41),IF(I41=4,Pondération!B$6*(B41-D41),0))</f>
        <v>0</v>
      </c>
      <c r="M41" s="34">
        <f>IF(H41=1,Pondération!B$3*(A41-E41),IF(H41=2,Pondération!B$4*(A41-E41),IF(H41=3,Pondération!B$5*(A41-E41),IF(H41=4,Pondération!B$6*(A41-E41),IF(H41=5,Pondération!B$7*(A41-E41),0)))))</f>
        <v>0</v>
      </c>
      <c r="N41" s="34">
        <f t="shared" si="0"/>
        <v>0</v>
      </c>
      <c r="O41" s="34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4"/>
    </row>
    <row r="42" spans="1:42" ht="17.25" thickTop="1" thickBot="1" x14ac:dyDescent="0.25">
      <c r="A42" s="3"/>
      <c r="B42" s="3"/>
      <c r="C42" s="7" t="s">
        <v>52</v>
      </c>
      <c r="D42" s="5"/>
      <c r="E42" s="6"/>
      <c r="F42" s="34"/>
      <c r="G42" s="7" t="s">
        <v>52</v>
      </c>
      <c r="H42" s="14">
        <f>IF(Compos!A2="Ivern",1,IF(Compos!A3="Ivern",2,IF(Compos!A4="Ivern",3,IF(Compos!A5="Ivern",4,IF(Compos!A6="Ivern",5,0)))))</f>
        <v>0</v>
      </c>
      <c r="I42" s="14">
        <f>IF(Compos!D2="Ivern",1,IF(Compos!D3="Ivern",2,IF(Compos!D4="Ivern",3,IF(Compos!D5="Ivern",4,IF(Compos!D6="Ivern",5,0)))))</f>
        <v>0</v>
      </c>
      <c r="J42" s="34">
        <f>IF(I42=1,Pondération!B$3*(B42-D42),IF(I42=2,Pondération!B$4*(B42-D42),IF(I42=3,Pondération!B$5*(B42-D42),IF(I42=4,Pondération!B$6*(B42-D42),IF(I42=5,Pondération!B$7*(B42-D42),0)))))</f>
        <v>0</v>
      </c>
      <c r="K42" s="34">
        <f>IF(H42=5,Pondération!B$7*(A42-E42),0)</f>
        <v>0</v>
      </c>
      <c r="L42" s="34">
        <f>IF(I42=5,Pondération!B$7*(B42-D42),IF(I42=4,Pondération!B$6*(B42-D42),0))</f>
        <v>0</v>
      </c>
      <c r="M42" s="34">
        <f>IF(H42=1,Pondération!B$3*(A42-E42),IF(H42=2,Pondération!B$4*(A42-E42),IF(H42=3,Pondération!B$5*(A42-E42),IF(H42=4,Pondération!B$6*(A42-E42),IF(H42=5,Pondération!B$7*(A42-E42),0)))))</f>
        <v>0</v>
      </c>
      <c r="N42" s="34">
        <f t="shared" si="0"/>
        <v>0</v>
      </c>
      <c r="O42" s="34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4"/>
    </row>
    <row r="43" spans="1:42" ht="17.25" thickTop="1" thickBot="1" x14ac:dyDescent="0.25">
      <c r="A43" s="3"/>
      <c r="B43" s="3"/>
      <c r="C43" s="7" t="s">
        <v>53</v>
      </c>
      <c r="D43" s="5"/>
      <c r="E43" s="6"/>
      <c r="F43" s="34"/>
      <c r="G43" s="7" t="s">
        <v>53</v>
      </c>
      <c r="H43" s="14">
        <f>IF(Compos!A2="Janna",1,IF(Compos!A3="Janna",2,IF(Compos!A4="Janna",3,IF(Compos!A5="Janna",4,IF(Compos!A6="Janna",5,0)))))</f>
        <v>0</v>
      </c>
      <c r="I43" s="14">
        <f>IF(Compos!D2="Janna",1,IF(Compos!D3="Janna",2,IF(Compos!D4="Janna",3,IF(Compos!D5="Janna",4,IF(Compos!D6="Janna",5,0)))))</f>
        <v>0</v>
      </c>
      <c r="J43" s="34">
        <f>IF(I43=1,Pondération!B$3*(B43-D43),IF(I43=2,Pondération!B$4*(B43-D43),IF(I43=3,Pondération!B$5*(B43-D43),IF(I43=4,Pondération!B$6*(B43-D43),IF(I43=5,Pondération!B$7*(B43-D43),0)))))</f>
        <v>0</v>
      </c>
      <c r="K43" s="34">
        <f>IF(H43=5,Pondération!B$7*(A43-E43),0)</f>
        <v>0</v>
      </c>
      <c r="L43" s="34">
        <f>IF(I43=5,Pondération!B$7*(B43-D43),IF(I43=4,Pondération!B$6*(B43-D43),0))</f>
        <v>0</v>
      </c>
      <c r="M43" s="34">
        <f>IF(H43=1,Pondération!B$3*(A43-E43),IF(H43=2,Pondération!B$4*(A43-E43),IF(H43=3,Pondération!B$5*(A43-E43),IF(H43=4,Pondération!B$6*(A43-E43),IF(H43=5,Pondération!B$7*(A43-E43),0)))))</f>
        <v>0</v>
      </c>
      <c r="N43" s="34">
        <f t="shared" si="0"/>
        <v>0</v>
      </c>
      <c r="O43" s="34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4"/>
    </row>
    <row r="44" spans="1:42" ht="17.25" thickTop="1" thickBot="1" x14ac:dyDescent="0.25">
      <c r="A44" s="3"/>
      <c r="B44" s="3"/>
      <c r="C44" s="7" t="s">
        <v>54</v>
      </c>
      <c r="D44" s="5"/>
      <c r="E44" s="6"/>
      <c r="F44" s="34"/>
      <c r="G44" s="7" t="s">
        <v>54</v>
      </c>
      <c r="H44" s="14">
        <f>IF(OR(Compos!A2="Jarvan IV",Compos!A2="Jarvan 4",Compos!A2="Jarvan",Compos!A2="J4"),1,IF(OR(Compos!A3="Jarvan IV",Compos!A3="Jarvan 4",Compos!A3="Jarvan",Compos!A3="J4"),2,IF(OR(Compos!A4="Jarvan IV",Compos!A4="Jarvan 4",Compos!A4="Jarvan",Compos!A4="J4"),3,IF(OR(Compos!A5="Jarvan IV",Compos!A5="Jarvan 4",Compos!A5="Jarvan",Compos!A5="J4"),4,IF(OR(Compos!A6="Jarvan IV",Compos!A6="Jarvan 4",Compos!A6="Jarvan",Compos!A6="J4"),5,0)))))</f>
        <v>0</v>
      </c>
      <c r="I44" s="14">
        <f>IF(OR(Compos!D2="Jarvan IV",Compos!D2="Jarvan 4",Compos!D2="Jarvan",Compos!D2="J4"),1,IF(OR(Compos!D3="Jarvan IV",Compos!D3="Jarvan 4",Compos!D3="Jarvan",Compos!D3="J4"),2,IF(OR(Compos!D4="Jarvan IV",Compos!D4="Jarvan 4",Compos!D4="Jarvan",Compos!D4="J4"),3,IF(OR(Compos!D5="Jarvan IV",Compos!D5="Jarvan 4",Compos!D5="Jarvan",Compos!D5="J4"),4,IF(OR(Compos!D6="Jarvan IV",Compos!D6="Jarvan 4",Compos!D6="Jarvan",Compos!D6="J4"),5,0)))))</f>
        <v>0</v>
      </c>
      <c r="J44" s="34">
        <f>IF(I44=1,Pondération!B$3*(B44-D44),IF(I44=2,Pondération!B$4*(B44-D44),IF(I44=3,Pondération!B$5*(B44-D44),IF(I44=4,Pondération!B$6*(B44-D44),IF(I44=5,Pondération!B$7*(B44-D44),0)))))</f>
        <v>0</v>
      </c>
      <c r="K44" s="34">
        <f>IF(H44=5,Pondération!B$7*(A44-E44),0)</f>
        <v>0</v>
      </c>
      <c r="L44" s="34">
        <f>IF(I44=5,Pondération!B$7*(B44-D44),IF(I44=4,Pondération!B$6*(B44-D44),0))</f>
        <v>0</v>
      </c>
      <c r="M44" s="34">
        <f>IF(H44=1,Pondération!B$3*(A44-E44),IF(H44=2,Pondération!B$4*(A44-E44),IF(H44=3,Pondération!B$5*(A44-E44),IF(H44=4,Pondération!B$6*(A44-E44),IF(H44=5,Pondération!B$7*(A44-E44),0)))))</f>
        <v>0</v>
      </c>
      <c r="N44" s="34">
        <f t="shared" si="0"/>
        <v>0</v>
      </c>
      <c r="O44" s="34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4"/>
    </row>
    <row r="45" spans="1:42" ht="17.25" thickTop="1" thickBot="1" x14ac:dyDescent="0.25">
      <c r="A45" s="3"/>
      <c r="B45" s="3"/>
      <c r="C45" s="7" t="s">
        <v>55</v>
      </c>
      <c r="D45" s="5"/>
      <c r="E45" s="6"/>
      <c r="F45" s="34"/>
      <c r="G45" s="7" t="s">
        <v>55</v>
      </c>
      <c r="H45" s="14">
        <f>IF(Compos!A2="Jax",1,IF(Compos!A3="Jax",2,IF(Compos!A4="Jax",3,IF(Compos!A5="Jax",4,IF(Compos!A6="Jax",5,0)))))</f>
        <v>0</v>
      </c>
      <c r="I45" s="14">
        <f>IF(Compos!D2="Jax",1,IF(Compos!D3="Jax",2,IF(Compos!D4="Jax",3,IF(Compos!D5="Jax",4,IF(Compos!D6="Jax",5,0)))))</f>
        <v>0</v>
      </c>
      <c r="J45" s="34">
        <f>IF(I45=1,Pondération!B$3*(B45-D45),IF(I45=2,Pondération!B$4*(B45-D45),IF(I45=3,Pondération!B$5*(B45-D45),IF(I45=4,Pondération!B$6*(B45-D45),IF(I45=5,Pondération!B$7*(B45-D45),0)))))</f>
        <v>0</v>
      </c>
      <c r="K45" s="34">
        <f>IF(H45=5,Pondération!B$7*(A45-E45),0)</f>
        <v>0</v>
      </c>
      <c r="L45" s="34">
        <f>IF(I45=5,Pondération!B$7*(B45-D45),IF(I45=4,Pondération!B$6*(B45-D45),0))</f>
        <v>0</v>
      </c>
      <c r="M45" s="34">
        <f>IF(H45=1,Pondération!B$3*(A45-E45),IF(H45=2,Pondération!B$4*(A45-E45),IF(H45=3,Pondération!B$5*(A45-E45),IF(H45=4,Pondération!B$6*(A45-E45),IF(H45=5,Pondération!B$7*(A45-E45),0)))))</f>
        <v>0</v>
      </c>
      <c r="N45" s="34">
        <f t="shared" si="0"/>
        <v>0</v>
      </c>
      <c r="O45" s="34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34"/>
    </row>
    <row r="46" spans="1:42" ht="17.25" thickTop="1" thickBot="1" x14ac:dyDescent="0.25">
      <c r="A46" s="3"/>
      <c r="B46" s="3"/>
      <c r="C46" s="7" t="s">
        <v>56</v>
      </c>
      <c r="D46" s="5"/>
      <c r="E46" s="6"/>
      <c r="F46" s="34"/>
      <c r="G46" s="7" t="s">
        <v>56</v>
      </c>
      <c r="H46" s="14">
        <f>IF(Compos!A2="Jayce",1,IF(Compos!A3="Jayce",2,IF(Compos!A4="Jayce",3,IF(Compos!A5="Jayce",4,IF(Compos!A6="Jayce",5,0)))))</f>
        <v>0</v>
      </c>
      <c r="I46" s="14">
        <f>IF(Compos!D2="Jayce",1,IF(Compos!D3="Jayce",2,IF(Compos!D4="Jayce",3,IF(Compos!D5="Jayce",4,IF(Compos!D6="Jayce",5,0)))))</f>
        <v>0</v>
      </c>
      <c r="J46" s="34">
        <f>IF(I46=1,Pondération!B$3*(B46-D46),IF(I46=2,Pondération!B$4*(B46-D46),IF(I46=3,Pondération!B$5*(B46-D46),IF(I46=4,Pondération!B$6*(B46-D46),IF(I46=5,Pondération!B$7*(B46-D46),0)))))</f>
        <v>0</v>
      </c>
      <c r="K46" s="34">
        <f>IF(H46=5,Pondération!B$7*(A46-E46),0)</f>
        <v>0</v>
      </c>
      <c r="L46" s="34">
        <f>IF(I46=5,Pondération!B$7*(B46-D46),IF(I46=4,Pondération!B$6*(B46-D46),0))</f>
        <v>0</v>
      </c>
      <c r="M46" s="34">
        <f>IF(H46=1,Pondération!B$3*(A46-E46),IF(H46=2,Pondération!B$4*(A46-E46),IF(H46=3,Pondération!B$5*(A46-E46),IF(H46=4,Pondération!B$6*(A46-E46),IF(H46=5,Pondération!B$7*(A46-E46),0)))))</f>
        <v>0</v>
      </c>
      <c r="N46" s="34">
        <f t="shared" si="0"/>
        <v>0</v>
      </c>
      <c r="O46" s="34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34"/>
    </row>
    <row r="47" spans="1:42" ht="17.25" thickTop="1" thickBot="1" x14ac:dyDescent="0.25">
      <c r="A47" s="3"/>
      <c r="B47" s="3"/>
      <c r="C47" s="7" t="s">
        <v>57</v>
      </c>
      <c r="D47" s="5"/>
      <c r="E47" s="6"/>
      <c r="F47" s="34"/>
      <c r="G47" s="7" t="s">
        <v>57</v>
      </c>
      <c r="H47" s="14">
        <f>IF(Compos!A2="Jhin",1,IF(Compos!A3="Jhin",2,IF(Compos!A4="Jhin",3,IF(Compos!A5="Jhin",4,IF(Compos!A6="Jhin",5,0)))))</f>
        <v>0</v>
      </c>
      <c r="I47" s="14">
        <f>IF(Compos!D2="Jhin",1,IF(Compos!D3="Jhin",2,IF(Compos!D4="Jhin",3,IF(Compos!D5="Jhin",4,IF(Compos!D6="Jhin",5,0)))))</f>
        <v>0</v>
      </c>
      <c r="J47" s="34">
        <f>IF(I47=1,Pondération!B$3*(B47-D47),IF(I47=2,Pondération!B$4*(B47-D47),IF(I47=3,Pondération!B$5*(B47-D47),IF(I47=4,Pondération!B$6*(B47-D47),IF(I47=5,Pondération!B$7*(B47-D47),0)))))</f>
        <v>0</v>
      </c>
      <c r="K47" s="34">
        <f>IF(H47=5,Pondération!B$7*(A47-E47),0)</f>
        <v>0</v>
      </c>
      <c r="L47" s="34">
        <f>IF(I47=5,Pondération!B$7*(B47-D47),IF(I47=4,Pondération!B$6*(B47-D47),0))</f>
        <v>0</v>
      </c>
      <c r="M47" s="34">
        <f>IF(H47=1,Pondération!B$3*(A47-E47),IF(H47=2,Pondération!B$4*(A47-E47),IF(H47=3,Pondération!B$5*(A47-E47),IF(H47=4,Pondération!B$6*(A47-E47),IF(H47=5,Pondération!B$7*(A47-E47),0)))))</f>
        <v>0</v>
      </c>
      <c r="N47" s="34">
        <f t="shared" si="0"/>
        <v>0</v>
      </c>
      <c r="O47" s="34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34"/>
    </row>
    <row r="48" spans="1:42" ht="17.25" thickTop="1" thickBot="1" x14ac:dyDescent="0.25">
      <c r="A48" s="3"/>
      <c r="B48" s="3"/>
      <c r="C48" s="7" t="s">
        <v>58</v>
      </c>
      <c r="D48" s="5"/>
      <c r="E48" s="6"/>
      <c r="F48" s="34"/>
      <c r="G48" s="7" t="s">
        <v>58</v>
      </c>
      <c r="H48" s="14">
        <f>IF(Compos!A2="Jinx",1,IF(Compos!A3="Jinx",2,IF(Compos!A4="Jinx",3,IF(Compos!A5="Jinx",4,IF(Compos!A6="Jinx",5,0)))))</f>
        <v>0</v>
      </c>
      <c r="I48" s="14">
        <f>IF(Compos!D2="Jinx",1,IF(Compos!D3="Jinx",2,IF(Compos!D4="Jinx",3,IF(Compos!D5="Jinx",4,IF(Compos!D6="Jinx",5,0)))))</f>
        <v>0</v>
      </c>
      <c r="J48" s="34">
        <f>IF(I48=1,Pondération!B$3*(B48-D48),IF(I48=2,Pondération!B$4*(B48-D48),IF(I48=3,Pondération!B$5*(B48-D48),IF(I48=4,Pondération!B$6*(B48-D48),IF(I48=5,Pondération!B$7*(B48-D48),0)))))</f>
        <v>0</v>
      </c>
      <c r="K48" s="34">
        <f>IF(H48=5,Pondération!B$7*(A48-E48),0)</f>
        <v>0</v>
      </c>
      <c r="L48" s="34">
        <f>IF(I48=5,Pondération!B$7*(B48-D48),IF(I48=4,Pondération!B$6*(B48-D48),0))</f>
        <v>0</v>
      </c>
      <c r="M48" s="34">
        <f>IF(H48=1,Pondération!B$3*(A48-E48),IF(H48=2,Pondération!B$4*(A48-E48),IF(H48=3,Pondération!B$5*(A48-E48),IF(H48=4,Pondération!B$6*(A48-E48),IF(H48=5,Pondération!B$7*(A48-E48),0)))))</f>
        <v>0</v>
      </c>
      <c r="N48" s="34">
        <f t="shared" si="0"/>
        <v>0</v>
      </c>
      <c r="O48" s="34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34"/>
    </row>
    <row r="49" spans="1:42" ht="17.25" thickTop="1" thickBot="1" x14ac:dyDescent="0.25">
      <c r="A49" s="3"/>
      <c r="B49" s="3"/>
      <c r="C49" s="7" t="s">
        <v>59</v>
      </c>
      <c r="D49" s="5"/>
      <c r="E49" s="6"/>
      <c r="F49" s="34"/>
      <c r="G49" s="7" t="s">
        <v>59</v>
      </c>
      <c r="H49" s="14">
        <f>IF(OR(Compos!A2="Kai'Sa",Compos!A2="Kai",Compos!A2="Sa",Compos!A2="KS", Compos!A2="KaiSa",Compos!A2="Kai Sa"),1,IF(OR(Compos!A3="Kai'Sa",Compos!A3="Kai",Compos!A3="Sa",Compos!A3="KS", Compos!A3="KaiSa",Compos!A3="Kai Sa"),2,IF(OR(Compos!A4="Kai'Sa",Compos!A4="Kai",Compos!A4="Sa",Compos!A4="KS", Compos!A4="KaiSa",Compos!A4="Kai Sa"),3,IF(OR(Compos!A5="Kai'Sa",Compos!A5="Kai",Compos!A5="Sa",Compos!A5="KS", Compos!A5="KaiSa",Compos!A5="Kai Sa"),4,IF(OR(Compos!A6="Kai'Sa",Compos!A6="Kai",Compos!A6="Sa",Compos!A6="KS", Compos!A6="KaiSa",Compos!A6="Kai Sa"),5,0)))))</f>
        <v>0</v>
      </c>
      <c r="I49" s="14">
        <f>IF(OR(Compos!D2="Kai'Sa",Compos!D2="Kai",Compos!D2="Sa",Compos!D2="KS", Compos!D2="KaiSa", Compos!D2="Kai Sa"),1,IF(OR(Compos!D3="Kai'Sa",Compos!D3="Kai",Compos!D3="Sa",Compos!D3="KS", Compos!D3="KaiSa", Compos!D3="Kai Sa"),2,IF(OR(Compos!D4="Kai'Sa",Compos!D4="Kai",Compos!D4="Sa",Compos!D4="KS", Compos!D4="KaiSa",Compos!D4="Kai Sa"),3,IF(OR(Compos!D5="Kai'Sa",Compos!D5="Kai",Compos!D5="Sa",Compos!D5="KS", Compos!D5="KaiSa",Compos!D5="Kai Sa"),4,IF(OR(Compos!D6="Kai'Sa",Compos!D6="Kai",Compos!D6="Sa",Compos!D6="KS", Compos!D6="KaiSa",Compos!D6="Kai Sa"),5,0)))))</f>
        <v>0</v>
      </c>
      <c r="J49" s="34">
        <f>IF(I49=1,Pondération!B$3*(B49-D49),IF(I49=2,Pondération!B$4*(B49-D49),IF(I49=3,Pondération!B$5*(B49-D49),IF(I49=4,Pondération!B$6*(B49-D49),IF(I49=5,Pondération!B$7*(B49-D49),0)))))</f>
        <v>0</v>
      </c>
      <c r="K49" s="34">
        <f>IF(H49=5,Pondération!B$7*(A49-E49),0)</f>
        <v>0</v>
      </c>
      <c r="L49" s="34">
        <f>IF(I49=5,Pondération!B$7*(B49-D49),IF(I49=4,Pondération!B$6*(B49-D49),0))</f>
        <v>0</v>
      </c>
      <c r="M49" s="34">
        <f>IF(H49=1,Pondération!B$3*(A49-E49),IF(H49=2,Pondération!B$4*(A49-E49),IF(H49=3,Pondération!B$5*(A49-E49),IF(H49=4,Pondération!B$6*(A49-E49),IF(H49=5,Pondération!B$7*(A49-E49),0)))))</f>
        <v>0</v>
      </c>
      <c r="N49" s="34">
        <f t="shared" si="0"/>
        <v>0</v>
      </c>
      <c r="O49" s="34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34"/>
    </row>
    <row r="50" spans="1:42" ht="17.25" thickTop="1" thickBot="1" x14ac:dyDescent="0.25">
      <c r="A50" s="3"/>
      <c r="B50" s="3"/>
      <c r="C50" s="7" t="s">
        <v>60</v>
      </c>
      <c r="D50" s="5"/>
      <c r="E50" s="6"/>
      <c r="F50" s="34"/>
      <c r="G50" s="7" t="s">
        <v>60</v>
      </c>
      <c r="H50" s="14">
        <f>IF(Compos!A2="Kalista",1,IF(Compos!A3="Kalista",2,IF(Compos!A4="Kalista",3,IF(Compos!A5="Kalista",4,IF(Compos!A6="Kalista",5,0)))))</f>
        <v>0</v>
      </c>
      <c r="I50" s="14">
        <f>IF(Compos!D2="Kalista",1,IF(Compos!D3="Kalista",2,IF(Compos!D4="Kalista",3,IF(Compos!D5="Kalista",4,IF(Compos!D6="Kalista",5,0)))))</f>
        <v>0</v>
      </c>
      <c r="J50" s="34">
        <f>IF(I50=1,Pondération!B$3*(B50-D50),IF(I50=2,Pondération!B$4*(B50-D50),IF(I50=3,Pondération!B$5*(B50-D50),IF(I50=4,Pondération!B$6*(B50-D50),IF(I50=5,Pondération!B$7*(B50-D50),0)))))</f>
        <v>0</v>
      </c>
      <c r="K50" s="34">
        <f>IF(H50=5,Pondération!B$7*(A50-E50),0)</f>
        <v>0</v>
      </c>
      <c r="L50" s="34">
        <f>IF(I50=5,Pondération!B$7*(B50-D50),IF(I50=4,Pondération!B$6*(B50-D50),0))</f>
        <v>0</v>
      </c>
      <c r="M50" s="34">
        <f>IF(H50=1,Pondération!B$3*(A50-E50),IF(H50=2,Pondération!B$4*(A50-E50),IF(H50=3,Pondération!B$5*(A50-E50),IF(H50=4,Pondération!B$6*(A50-E50),IF(H50=5,Pondération!B$7*(A50-E50),0)))))</f>
        <v>0</v>
      </c>
      <c r="N50" s="34">
        <f t="shared" si="0"/>
        <v>0</v>
      </c>
      <c r="O50" s="34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34"/>
    </row>
    <row r="51" spans="1:42" ht="17.25" thickTop="1" thickBot="1" x14ac:dyDescent="0.25">
      <c r="A51" s="3"/>
      <c r="B51" s="3"/>
      <c r="C51" s="7" t="s">
        <v>61</v>
      </c>
      <c r="D51" s="5"/>
      <c r="E51" s="6"/>
      <c r="F51" s="34"/>
      <c r="G51" s="7" t="s">
        <v>61</v>
      </c>
      <c r="H51" s="14">
        <f>IF(Compos!A2="Karma",1,IF(Compos!A3="Karma",2,IF(Compos!A4="Karma",3,IF(Compos!A5="Karma",4,IF(Compos!A6="Karma",5,0)))))</f>
        <v>0</v>
      </c>
      <c r="I51" s="14">
        <f>IF(Compos!D2="Karma",1,IF(Compos!D3="Karma",2,IF(Compos!D4="Karma",3,IF(Compos!D5="Karma",4,IF(Compos!D6="Karma",5,0)))))</f>
        <v>0</v>
      </c>
      <c r="J51" s="34">
        <f>IF(I51=1,Pondération!B$3*(B51-D51),IF(I51=2,Pondération!B$4*(B51-D51),IF(I51=3,Pondération!B$5*(B51-D51),IF(I51=4,Pondération!B$6*(B51-D51),IF(I51=5,Pondération!B$7*(B51-D51),0)))))</f>
        <v>0</v>
      </c>
      <c r="K51" s="34">
        <f>IF(H51=5,Pondération!B$7*(A51-E51),0)</f>
        <v>0</v>
      </c>
      <c r="L51" s="34">
        <f>IF(I51=5,Pondération!B$7*(B51-D51),IF(I51=4,Pondération!B$6*(B51-D51),0))</f>
        <v>0</v>
      </c>
      <c r="M51" s="34">
        <f>IF(H51=1,Pondération!B$3*(A51-E51),IF(H51=2,Pondération!B$4*(A51-E51),IF(H51=3,Pondération!B$5*(A51-E51),IF(H51=4,Pondération!B$6*(A51-E51),IF(H51=5,Pondération!B$7*(A51-E51),0)))))</f>
        <v>0</v>
      </c>
      <c r="N51" s="34">
        <f t="shared" si="0"/>
        <v>0</v>
      </c>
      <c r="O51" s="34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34"/>
    </row>
    <row r="52" spans="1:42" ht="17.25" thickTop="1" thickBot="1" x14ac:dyDescent="0.25">
      <c r="A52" s="3"/>
      <c r="B52" s="3"/>
      <c r="C52" s="7" t="s">
        <v>62</v>
      </c>
      <c r="D52" s="5"/>
      <c r="E52" s="6"/>
      <c r="F52" s="34"/>
      <c r="G52" s="7" t="s">
        <v>62</v>
      </c>
      <c r="H52" s="14">
        <f>IF(Compos!A2="Karthus",1,IF(Compos!A3="Karthus",2,IF(Compos!A4="Karthus",3,IF(Compos!A5="Karthus",4,IF(Compos!A6="Karthus",5,0)))))</f>
        <v>0</v>
      </c>
      <c r="I52" s="14">
        <f>IF(Compos!D2="Karthus",1,IF(Compos!D3="Karthus",2,IF(Compos!D4="Karthus",3,IF(Compos!D5="Karthus",4,IF(Compos!D6="Karthus",5,0)))))</f>
        <v>0</v>
      </c>
      <c r="J52" s="34">
        <f>IF(I52=1,Pondération!B$3*(B52-D52),IF(I52=2,Pondération!B$4*(B52-D52),IF(I52=3,Pondération!B$5*(B52-D52),IF(I52=4,Pondération!B$6*(B52-D52),IF(I52=5,Pondération!B$7*(B52-D52),0)))))</f>
        <v>0</v>
      </c>
      <c r="K52" s="34">
        <f>IF(H52=5,Pondération!B$7*(A52-E52),0)</f>
        <v>0</v>
      </c>
      <c r="L52" s="34">
        <f>IF(I52=5,Pondération!B$7*(B52-D52),IF(I52=4,Pondération!B$6*(B52-D52),0))</f>
        <v>0</v>
      </c>
      <c r="M52" s="34">
        <f>IF(H52=1,Pondération!B$3*(A52-E52),IF(H52=2,Pondération!B$4*(A52-E52),IF(H52=3,Pondération!B$5*(A52-E52),IF(H52=4,Pondération!B$6*(A52-E52),IF(H52=5,Pondération!B$7*(A52-E52),0)))))</f>
        <v>0</v>
      </c>
      <c r="N52" s="34">
        <f t="shared" si="0"/>
        <v>0</v>
      </c>
      <c r="O52" s="34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34"/>
    </row>
    <row r="53" spans="1:42" ht="17.25" thickTop="1" thickBot="1" x14ac:dyDescent="0.25">
      <c r="A53" s="3"/>
      <c r="B53" s="3"/>
      <c r="C53" s="7" t="s">
        <v>63</v>
      </c>
      <c r="D53" s="5"/>
      <c r="E53" s="6"/>
      <c r="F53" s="34"/>
      <c r="G53" s="7" t="s">
        <v>63</v>
      </c>
      <c r="H53" s="14">
        <f>IF(OR(Compos!A2="Kassadin",Compos!A2="Kassa"),1,IF(OR(Compos!A3="Kassadin",Compos!A3="Kassa"),2,IF(OR(Compos!A4="Kassadin",Compos!A4="Kassa"),3,IF(OR(Compos!A5="Kassadin",Compos!A5="Kassa"),4,IF(OR(Compos!A6="Kassadin",Compos!A6="Kassa"),5,0)))))</f>
        <v>0</v>
      </c>
      <c r="I53" s="14">
        <f>IF(OR(Compos!D2="Kassadin",Compos!D2="Kassa"),1,IF(OR(Compos!D3="Kassadin",Compos!D3="Kassa"),2,IF(OR(Compos!D4="Kassadin",Compos!D4="Kassa"),3,IF(OR(Compos!D5="Kassadin",Compos!D5="Kassa"),4,IF(OR(Compos!D6="Kassadin",Compos!D6="Kassa"),5,0)))))</f>
        <v>0</v>
      </c>
      <c r="J53" s="34">
        <f>IF(I53=1,Pondération!B$3*(B53-D53),IF(I53=2,Pondération!B$4*(B53-D53),IF(I53=3,Pondération!B$5*(B53-D53),IF(I53=4,Pondération!B$6*(B53-D53),IF(I53=5,Pondération!B$7*(B53-D53),0)))))</f>
        <v>0</v>
      </c>
      <c r="K53" s="34">
        <f>IF(H53=5,Pondération!B$7*(A53-E53),0)</f>
        <v>0</v>
      </c>
      <c r="L53" s="34">
        <f>IF(I53=5,Pondération!B$7*(B53-D53),IF(I53=4,Pondération!B$6*(B53-D53),0))</f>
        <v>0</v>
      </c>
      <c r="M53" s="34">
        <f>IF(H53=1,Pondération!B$3*(A53-E53),IF(H53=2,Pondération!B$4*(A53-E53),IF(H53=3,Pondération!B$5*(A53-E53),IF(H53=4,Pondération!B$6*(A53-E53),IF(H53=5,Pondération!B$7*(A53-E53),0)))))</f>
        <v>0</v>
      </c>
      <c r="N53" s="34">
        <f t="shared" si="0"/>
        <v>0</v>
      </c>
      <c r="O53" s="34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34"/>
    </row>
    <row r="54" spans="1:42" ht="17.25" thickTop="1" thickBot="1" x14ac:dyDescent="0.25">
      <c r="A54" s="3"/>
      <c r="B54" s="3"/>
      <c r="C54" s="7" t="s">
        <v>64</v>
      </c>
      <c r="D54" s="5"/>
      <c r="E54" s="6"/>
      <c r="F54" s="34"/>
      <c r="G54" s="7" t="s">
        <v>64</v>
      </c>
      <c r="H54" s="14">
        <f>IF(OR(Compos!A2="Katarina",Compos!A2="Kata"),1,IF(OR(Compos!A3="Katarina",Compos!A3="Kata"),2,IF(OR(Compos!A4="Katarina",Compos!A4="Kata"),3,IF(OR(Compos!A5="Katarina",Compos!A5="Kata"),4,IF(OR(Compos!A6="Katarina",Compos!A6="Kata"),5,0)))))</f>
        <v>0</v>
      </c>
      <c r="I54" s="14">
        <f>IF(OR(Compos!D2="Katarina",Compos!D2="Kata"),1,IF(OR(Compos!D3="Katarina",Compos!D3="Kata"),2,IF(OR(Compos!D4="Katarina",Compos!D4="Kata"),3,IF(OR(Compos!D5="Katarina",Compos!D5="Kata"),4,IF(OR(Compos!D6="Katarina",Compos!D6="Kata"),5,0)))))</f>
        <v>0</v>
      </c>
      <c r="J54" s="34">
        <f>IF(I54=1,Pondération!B$3*(B54-D54),IF(I54=2,Pondération!B$4*(B54-D54),IF(I54=3,Pondération!B$5*(B54-D54),IF(I54=4,Pondération!B$6*(B54-D54),IF(I54=5,Pondération!B$7*(B54-D54),0)))))</f>
        <v>0</v>
      </c>
      <c r="K54" s="34">
        <f>IF(H54=5,Pondération!B$7*(A54-E54),0)</f>
        <v>0</v>
      </c>
      <c r="L54" s="34">
        <f>IF(I54=5,Pondération!B$7*(B54-D54),IF(I54=4,Pondération!B$6*(B54-D54),0))</f>
        <v>0</v>
      </c>
      <c r="M54" s="34">
        <f>IF(H54=1,Pondération!B$3*(A54-E54),IF(H54=2,Pondération!B$4*(A54-E54),IF(H54=3,Pondération!B$5*(A54-E54),IF(H54=4,Pondération!B$6*(A54-E54),IF(H54=5,Pondération!B$7*(A54-E54),0)))))</f>
        <v>0</v>
      </c>
      <c r="N54" s="34">
        <f t="shared" si="0"/>
        <v>0</v>
      </c>
      <c r="O54" s="34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34"/>
    </row>
    <row r="55" spans="1:42" ht="17.25" thickTop="1" thickBot="1" x14ac:dyDescent="0.25">
      <c r="A55" s="3"/>
      <c r="B55" s="3"/>
      <c r="C55" s="7" t="s">
        <v>65</v>
      </c>
      <c r="D55" s="5"/>
      <c r="E55" s="6"/>
      <c r="F55" s="34"/>
      <c r="G55" s="7" t="s">
        <v>65</v>
      </c>
      <c r="H55" s="14">
        <f>IF(Compos!A2="Kayle",1,IF(Compos!A3="Kayle",2,IF(Compos!A4="Kayle",3,IF(Compos!A5="Kayle",4,IF(Compos!A6="Kayle",5,0)))))</f>
        <v>0</v>
      </c>
      <c r="I55" s="14">
        <f>IF(Compos!D2="Kayle",1,IF(Compos!D3="Kayle",2,IF(Compos!D4="Kayle",3,IF(Compos!D5="Kayle",4,IF(Compos!D6="Kayle",5,0)))))</f>
        <v>0</v>
      </c>
      <c r="J55" s="34">
        <f>IF(I55=1,Pondération!B$3*(B55-D55),IF(I55=2,Pondération!B$4*(B55-D55),IF(I55=3,Pondération!B$5*(B55-D55),IF(I55=4,Pondération!B$6*(B55-D55),IF(I55=5,Pondération!B$7*(B55-D55),0)))))</f>
        <v>0</v>
      </c>
      <c r="K55" s="34">
        <f>IF(H55=5,Pondération!B$7*(A55-E55),0)</f>
        <v>0</v>
      </c>
      <c r="L55" s="34">
        <f>IF(I55=5,Pondération!B$7*(B55-D55),IF(I55=4,Pondération!B$6*(B55-D55),0))</f>
        <v>0</v>
      </c>
      <c r="M55" s="34">
        <f>IF(H55=1,Pondération!B$3*(A55-E55),IF(H55=2,Pondération!B$4*(A55-E55),IF(H55=3,Pondération!B$5*(A55-E55),IF(H55=4,Pondération!B$6*(A55-E55),IF(H55=5,Pondération!B$7*(A55-E55),0)))))</f>
        <v>0</v>
      </c>
      <c r="N55" s="34">
        <f t="shared" si="0"/>
        <v>0</v>
      </c>
      <c r="O55" s="34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34"/>
    </row>
    <row r="56" spans="1:42" ht="17.25" thickTop="1" thickBot="1" x14ac:dyDescent="0.25">
      <c r="A56" s="3"/>
      <c r="B56" s="3"/>
      <c r="C56" s="7" t="s">
        <v>66</v>
      </c>
      <c r="D56" s="5"/>
      <c r="E56" s="6"/>
      <c r="F56" s="34"/>
      <c r="G56" s="7" t="s">
        <v>66</v>
      </c>
      <c r="H56" s="14">
        <f>IF(Compos!A2="Kayn",1,IF(Compos!A3="Kayn",2,IF(Compos!A4="Kayn",3,IF(Compos!A5="Kayn",4,IF(Compos!A6="Kayn",5,0)))))</f>
        <v>0</v>
      </c>
      <c r="I56" s="14">
        <f>IF(Compos!D2="Kayn",1,IF(Compos!D3="Kayn",2,IF(Compos!D4="Kayn",3,IF(Compos!D5="Kayn",4,IF(Compos!D6="Kayn",5,0)))))</f>
        <v>0</v>
      </c>
      <c r="J56" s="34">
        <f>IF(I56=1,Pondération!B$3*(B56-D56),IF(I56=2,Pondération!B$4*(B56-D56),IF(I56=3,Pondération!B$5*(B56-D56),IF(I56=4,Pondération!B$6*(B56-D56),IF(I56=5,Pondération!B$7*(B56-D56),0)))))</f>
        <v>0</v>
      </c>
      <c r="K56" s="34">
        <f>IF(H56=5,Pondération!B$7*(A56-E56),0)</f>
        <v>0</v>
      </c>
      <c r="L56" s="34">
        <f>IF(I56=5,Pondération!B$7*(B56-D56),IF(I56=4,Pondération!B$6*(B56-D56),0))</f>
        <v>0</v>
      </c>
      <c r="M56" s="34">
        <f>IF(H56=1,Pondération!B$3*(A56-E56),IF(H56=2,Pondération!B$4*(A56-E56),IF(H56=3,Pondération!B$5*(A56-E56),IF(H56=4,Pondération!B$6*(A56-E56),IF(H56=5,Pondération!B$7*(A56-E56),0)))))</f>
        <v>0</v>
      </c>
      <c r="N56" s="34">
        <f t="shared" si="0"/>
        <v>0</v>
      </c>
      <c r="O56" s="34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34"/>
    </row>
    <row r="57" spans="1:42" ht="17.25" thickTop="1" thickBot="1" x14ac:dyDescent="0.25">
      <c r="A57" s="3"/>
      <c r="B57" s="3"/>
      <c r="C57" s="7" t="s">
        <v>67</v>
      </c>
      <c r="D57" s="5"/>
      <c r="E57" s="6"/>
      <c r="F57" s="34"/>
      <c r="G57" s="7" t="s">
        <v>67</v>
      </c>
      <c r="H57" s="14">
        <f>IF(Compos!A2="Kennen",1,IF(Compos!A3="Kennen",2,IF(Compos!A4="Kennen",3,IF(Compos!A5="Kennen",4,IF(Compos!A6="Kennen",5,0)))))</f>
        <v>0</v>
      </c>
      <c r="I57" s="14">
        <f>IF(Compos!D2="Kennen",1,IF(Compos!D3="Kennen",2,IF(Compos!D4="Kennen",3,IF(Compos!D5="Kennen",4,IF(Compos!D6="Kennen",5,0)))))</f>
        <v>0</v>
      </c>
      <c r="J57" s="34">
        <f>IF(I57=1,Pondération!B$3*(B57-D57),IF(I57=2,Pondération!B$4*(B57-D57),IF(I57=3,Pondération!B$5*(B57-D57),IF(I57=4,Pondération!B$6*(B57-D57),IF(I57=5,Pondération!B$7*(B57-D57),0)))))</f>
        <v>0</v>
      </c>
      <c r="K57" s="34">
        <f>IF(H57=5,Pondération!B$7*(A57-E57),0)</f>
        <v>0</v>
      </c>
      <c r="L57" s="34">
        <f>IF(I57=5,Pondération!B$7*(B57-D57),IF(I57=4,Pondération!B$6*(B57-D57),0))</f>
        <v>0</v>
      </c>
      <c r="M57" s="34">
        <f>IF(H57=1,Pondération!B$3*(A57-E57),IF(H57=2,Pondération!B$4*(A57-E57),IF(H57=3,Pondération!B$5*(A57-E57),IF(H57=4,Pondération!B$6*(A57-E57),IF(H57=5,Pondération!B$7*(A57-E57),0)))))</f>
        <v>0</v>
      </c>
      <c r="N57" s="34">
        <f t="shared" si="0"/>
        <v>0</v>
      </c>
      <c r="O57" s="34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34"/>
    </row>
    <row r="58" spans="1:42" ht="17.25" thickTop="1" thickBot="1" x14ac:dyDescent="0.3">
      <c r="A58" s="3"/>
      <c r="B58" s="3"/>
      <c r="C58" s="7" t="s">
        <v>68</v>
      </c>
      <c r="D58" s="5"/>
      <c r="E58" s="6"/>
      <c r="F58" s="34"/>
      <c r="G58" s="7" t="s">
        <v>68</v>
      </c>
      <c r="H58" s="19">
        <f>IF(OR(Compos!A2="Kha'Zix",Compos!A2="Kha",Compos!A2="Zix",Compos!A2="KZ", Compos!A2="KhaZix",Compos!A2="Kha Zix"),1,IF(OR(Compos!A3="Kha'Zix",Compos!A3="Kha",Compos!A3="Zix",Compos!A3="KZ", Compos!A3="KhaZix",Compos!A3="Kha Zix"),2,IF(OR(Compos!A4="Kha'Zix",Compos!A4="Kha",Compos!A4="Zix",Compos!A4="KZ", Compos!A4="KhaZix",Compos!A4="Kha Zix"),3,IF(OR(Compos!A5="Kha'Zix",Compos!A5="Kha",Compos!A5="Zix",Compos!A5="KZ", Compos!A5="KhaZix",Compos!A5="Kha Zix"),4,IF(OR(Compos!A6="Kha'Zix",Compos!A6="Kha",Compos!A6="Zix",Compos!A6="KZ", Compos!A6="KhaZix",Compos!A6="Kha Zix"),5,0)))))</f>
        <v>0</v>
      </c>
      <c r="I58" s="19">
        <f>IF(OR(Compos!D2="Kha'Zix",Compos!D2="Kha",Compos!D2="Zix",Compos!D2="KZ", Compos!D2="KhaZix", Compos!D2="Kha Zix"),1,IF(OR(Compos!D3="Kha'Zix",Compos!D3="Kha",Compos!D3="Zix",Compos!D3="KZ", Compos!D3="KhaZix", Compos!D3="Kha Zix"),2,IF(OR(Compos!D4="Kha'Zix",Compos!D4="Kha",Compos!D4="Zix",Compos!D4="KZ", Compos!D4="KhaZix",Compos!D4="Kha Zix"),3,IF(OR(Compos!D5="Kha'Zix",Compos!D5="Kha",Compos!D5="Zix",Compos!D5="KZ", Compos!D5="KhaZix",Compos!D5="Kha Zix"),4,IF(OR(Compos!D6="Kha'Zix",Compos!D6="Kha",Compos!D6="Zix",Compos!D6="KZ", Compos!D6="KhaZix",Compos!D6="Kha Zix"),5,0)))))</f>
        <v>0</v>
      </c>
      <c r="J58" s="34">
        <f>IF(I58=1,Pondération!B$3*(B58-D58),IF(I58=2,Pondération!B$4*(B58-D58),IF(I58=3,Pondération!B$5*(B58-D58),IF(I58=4,Pondération!B$6*(B58-D58),IF(I58=5,Pondération!B$7*(B58-D58),0)))))</f>
        <v>0</v>
      </c>
      <c r="K58" s="34">
        <f>IF(H58=5,Pondération!B$7*(A58-E58),0)</f>
        <v>0</v>
      </c>
      <c r="L58" s="34">
        <f>IF(I58=5,Pondération!B$7*(B58-D58),IF(I58=4,Pondération!B$6*(B58-D58),0))</f>
        <v>0</v>
      </c>
      <c r="M58" s="34">
        <f>IF(H58=1,Pondération!B$3*(A58-E58),IF(H58=2,Pondération!B$4*(A58-E58),IF(H58=3,Pondération!B$5*(A58-E58),IF(H58=4,Pondération!B$6*(A58-E58),IF(H58=5,Pondération!B$7*(A58-E58),0)))))</f>
        <v>0</v>
      </c>
      <c r="N58" s="34">
        <f t="shared" si="0"/>
        <v>0</v>
      </c>
      <c r="O58" s="34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34"/>
    </row>
    <row r="59" spans="1:42" ht="17.25" thickTop="1" thickBot="1" x14ac:dyDescent="0.25">
      <c r="A59" s="3"/>
      <c r="B59" s="3"/>
      <c r="C59" s="7" t="s">
        <v>69</v>
      </c>
      <c r="D59" s="5"/>
      <c r="E59" s="6"/>
      <c r="F59" s="34"/>
      <c r="G59" s="7" t="s">
        <v>69</v>
      </c>
      <c r="H59" s="14">
        <f>IF(Compos!A2="Kindred",1,IF(Compos!A3="Kindred",2,IF(Compos!A4="Kindred",3,IF(Compos!A5="Kindred",4,IF(Compos!A6="Kindred",5,0)))))</f>
        <v>0</v>
      </c>
      <c r="I59" s="14">
        <f>IF(Compos!D2="Kindred",1,IF(Compos!D3="Kindred",2,IF(Compos!D4="Kindred",3,IF(Compos!D5="Kindred",4,IF(Compos!D6="Kindred",5,0)))))</f>
        <v>0</v>
      </c>
      <c r="J59" s="34">
        <f>IF(I59=1,Pondération!B$3*(B59-D59),IF(I59=2,Pondération!B$4*(B59-D59),IF(I59=3,Pondération!B$5*(B59-D59),IF(I59=4,Pondération!B$6*(B59-D59),IF(I59=5,Pondération!B$7*(B59-D59),0)))))</f>
        <v>0</v>
      </c>
      <c r="K59" s="34">
        <f>IF(H59=5,Pondération!B$7*(A59-E59),0)</f>
        <v>0</v>
      </c>
      <c r="L59" s="34">
        <f>IF(I59=5,Pondération!B$7*(B59-D59),IF(I59=4,Pondération!B$6*(B59-D59),0))</f>
        <v>0</v>
      </c>
      <c r="M59" s="34">
        <f>IF(H59=1,Pondération!B$3*(A59-E59),IF(H59=2,Pondération!B$4*(A59-E59),IF(H59=3,Pondération!B$5*(A59-E59),IF(H59=4,Pondération!B$6*(A59-E59),IF(H59=5,Pondération!B$7*(A59-E59),0)))))</f>
        <v>0</v>
      </c>
      <c r="N59" s="34">
        <f t="shared" si="0"/>
        <v>0</v>
      </c>
      <c r="O59" s="34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34"/>
    </row>
    <row r="60" spans="1:42" ht="17.25" thickTop="1" thickBot="1" x14ac:dyDescent="0.25">
      <c r="A60" s="3"/>
      <c r="B60" s="3"/>
      <c r="C60" s="7" t="s">
        <v>70</v>
      </c>
      <c r="D60" s="5"/>
      <c r="E60" s="6"/>
      <c r="F60" s="34"/>
      <c r="G60" s="7" t="s">
        <v>70</v>
      </c>
      <c r="H60" s="14">
        <f>IF(Compos!A2="Kled",1,IF(Compos!A3="Kled",2,IF(Compos!A4="Kled",3,IF(Compos!A5="Kled",4,IF(Compos!A6="Kled",5,0)))))</f>
        <v>0</v>
      </c>
      <c r="I60" s="14">
        <f>IF(Compos!D2="Kled",1,IF(Compos!D3="Kled",2,IF(Compos!D4="Kled",3,IF(Compos!D5="Kled",4,IF(Compos!D6="Kled",5,0)))))</f>
        <v>0</v>
      </c>
      <c r="J60" s="34">
        <f>IF(I60=1,Pondération!B$3*(B60-D60),IF(I60=2,Pondération!B$4*(B60-D60),IF(I60=3,Pondération!B$5*(B60-D60),IF(I60=4,Pondération!B$6*(B60-D60),IF(I60=5,Pondération!B$7*(B60-D60),0)))))</f>
        <v>0</v>
      </c>
      <c r="K60" s="34">
        <f>IF(H60=5,Pondération!B$7*(A60-E60),0)</f>
        <v>0</v>
      </c>
      <c r="L60" s="34">
        <f>IF(I60=5,Pondération!B$7*(B60-D60),IF(I60=4,Pondération!B$6*(B60-D60),0))</f>
        <v>0</v>
      </c>
      <c r="M60" s="34">
        <f>IF(H60=1,Pondération!B$3*(A60-E60),IF(H60=2,Pondération!B$4*(A60-E60),IF(H60=3,Pondération!B$5*(A60-E60),IF(H60=4,Pondération!B$6*(A60-E60),IF(H60=5,Pondération!B$7*(A60-E60),0)))))</f>
        <v>0</v>
      </c>
      <c r="N60" s="34">
        <f t="shared" si="0"/>
        <v>0</v>
      </c>
      <c r="O60" s="34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34"/>
    </row>
    <row r="61" spans="1:42" ht="17.25" thickTop="1" thickBot="1" x14ac:dyDescent="0.25">
      <c r="A61" s="3"/>
      <c r="B61" s="3"/>
      <c r="C61" s="7" t="s">
        <v>71</v>
      </c>
      <c r="D61" s="5"/>
      <c r="E61" s="6"/>
      <c r="F61" s="34"/>
      <c r="G61" s="7" t="s">
        <v>71</v>
      </c>
      <c r="H61" s="14">
        <f>IF(OR(Compos!A2="Kog'Maw",Compos!A2="Kog",Compos!A2="Maw",Compos!A2="KM", Compos!A2="KogMaw",Compos!A2="Kog Maw"),1,IF(OR(Compos!A3="Kog'Maw",Compos!A3="Kog",Compos!A3="Maw",Compos!A3="KM", Compos!A3="KogMaw",Compos!A3="Kog Maw"),2,IF(OR(Compos!A4="Kog'Maw",Compos!A4="Kog",Compos!A4="Maw",Compos!A4="KM", Compos!A4="KogMaw",Compos!A4="Kog Maw"),3,IF(OR(Compos!A5="Kog'Maw",Compos!A5="Kog",Compos!A5="Maw",Compos!A5="KM", Compos!A5="KogMaw",Compos!A5="Kog Maw"),4,IF(OR(Compos!A6="Kog'Maw",Compos!A6="Kog",Compos!A6="Maw",Compos!A6="KM", Compos!A6="KogMaw",Compos!A6="Kog Maw"),5,0)))))</f>
        <v>0</v>
      </c>
      <c r="I61" s="14">
        <f>IF(OR(Compos!D2="Kog'Maw",Compos!D2="Kog",Compos!D2="Maw",Compos!D2="KM", Compos!D2="KogMaw", Compos!D2="Kog Maw"),1,IF(OR(Compos!D3="Kog'Maw",Compos!D3="Kog",Compos!D3="Maw",Compos!D3="KM", Compos!D3="KogMaw", Compos!D3="Kog Maw"),2,IF(OR(Compos!D4="Kog'Maw",Compos!D4="Kog",Compos!D4="Maw",Compos!D4="KM", Compos!D4="KogMaw",Compos!D4="Kog Maw"),3,IF(OR(Compos!D5="Kog'Maw",Compos!D5="Kog",Compos!D5="Maw",Compos!D5="KM", Compos!D5="KogMaw",Compos!D5="Kog Maw"),4,IF(OR(Compos!D6="Kog'Maw",Compos!D6="Kog",Compos!D6="Maw",Compos!D6="KM", Compos!D6="KogMaw",Compos!D6="Kog Maw"),5,0)))))</f>
        <v>0</v>
      </c>
      <c r="J61" s="34">
        <f>IF(I61=1,Pondération!B$3*(B61-D61),IF(I61=2,Pondération!B$4*(B61-D61),IF(I61=3,Pondération!B$5*(B61-D61),IF(I61=4,Pondération!B$6*(B61-D61),IF(I61=5,Pondération!B$7*(B61-D61),0)))))</f>
        <v>0</v>
      </c>
      <c r="K61" s="34">
        <f>IF(H61=5,Pondération!B$7*(A61-E61),0)</f>
        <v>0</v>
      </c>
      <c r="L61" s="34">
        <f>IF(I61=5,Pondération!B$7*(B61-D61),IF(I61=4,Pondération!B$6*(B61-D61),0))</f>
        <v>0</v>
      </c>
      <c r="M61" s="34">
        <f>IF(H61=1,Pondération!B$3*(A61-E61),IF(H61=2,Pondération!B$4*(A61-E61),IF(H61=3,Pondération!B$5*(A61-E61),IF(H61=4,Pondération!B$6*(A61-E61),IF(H61=5,Pondération!B$7*(A61-E61),0)))))</f>
        <v>0</v>
      </c>
      <c r="N61" s="34">
        <f t="shared" si="0"/>
        <v>0</v>
      </c>
      <c r="O61" s="34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34"/>
    </row>
    <row r="62" spans="1:42" ht="17.25" thickTop="1" thickBot="1" x14ac:dyDescent="0.25">
      <c r="A62" s="3"/>
      <c r="B62" s="3"/>
      <c r="C62" s="7" t="s">
        <v>72</v>
      </c>
      <c r="D62" s="5"/>
      <c r="E62" s="6"/>
      <c r="F62" s="34"/>
      <c r="G62" s="7" t="s">
        <v>72</v>
      </c>
      <c r="H62" s="14">
        <f>IF(OR(Compos!A2="Leblanc",Compos!A2="LB"),1,IF(OR(Compos!A3="Leblanc",Compos!A3="LB"),2,IF(OR(Compos!A4="Leblanc",Compos!A4="LB"),3,IF(OR(Compos!A5="Leblanc",Compos!A5="LB"),4,IF(OR(Compos!A6="Leblanc",Compos!A6="LB"),5,0)))))</f>
        <v>0</v>
      </c>
      <c r="I62" s="14">
        <f>IF(OR(Compos!D2="Leblanc",Compos!D2="LB"),1,IF(OR(Compos!D3="Leblanc",Compos!D3="LB"),2,IF(OR(Compos!D4="Leblanc",Compos!D4="LB"),3,IF(OR(Compos!D5="Leblanc",Compos!D5="LB"),4,IF(OR(Compos!D6="Leblanc",Compos!D6="LB"),5,0)))))</f>
        <v>0</v>
      </c>
      <c r="J62" s="34">
        <f>IF(I62=1,Pondération!B$3*(B62-D62),IF(I62=2,Pondération!B$4*(B62-D62),IF(I62=3,Pondération!B$5*(B62-D62),IF(I62=4,Pondération!B$6*(B62-D62),IF(I62=5,Pondération!B$7*(B62-D62),0)))))</f>
        <v>0</v>
      </c>
      <c r="K62" s="34">
        <f>IF(H62=5,Pondération!B$7*(A62-E62),0)</f>
        <v>0</v>
      </c>
      <c r="L62" s="34">
        <f>IF(I62=5,Pondération!B$7*(B62-D62),IF(I62=4,Pondération!B$6*(B62-D62),0))</f>
        <v>0</v>
      </c>
      <c r="M62" s="34">
        <f>IF(H62=1,Pondération!B$3*(A62-E62),IF(H62=2,Pondération!B$4*(A62-E62),IF(H62=3,Pondération!B$5*(A62-E62),IF(H62=4,Pondération!B$6*(A62-E62),IF(H62=5,Pondération!B$7*(A62-E62),0)))))</f>
        <v>0</v>
      </c>
      <c r="N62" s="34">
        <f t="shared" si="0"/>
        <v>0</v>
      </c>
      <c r="O62" s="34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34"/>
    </row>
    <row r="63" spans="1:42" ht="17.25" thickTop="1" thickBot="1" x14ac:dyDescent="0.25">
      <c r="A63" s="3"/>
      <c r="B63" s="3"/>
      <c r="C63" s="7" t="s">
        <v>73</v>
      </c>
      <c r="D63" s="5"/>
      <c r="E63" s="6"/>
      <c r="F63" s="34"/>
      <c r="G63" s="7" t="s">
        <v>73</v>
      </c>
      <c r="H63" s="14">
        <f>IF(OR(Compos!A2="Lee Sin",Compos!A2="LeeSin",Compos!A2="Lee ",Compos!A2="Sin"),1,IF(OR(Compos!A3="Lee Sin",Compos!A3="LeeSin",Compos!A3="Lee ",Compos!A3="Sin"),2,IF(OR(Compos!A4="Lee Sin",Compos!A4="LeeSin",Compos!A4="Lee ",Compos!A4="Sin"),3,IF(OR(Compos!A5="Lee Sin",Compos!A5="LeeSin",Compos!A5="Lee ",Compos!A5="SIN"),4,IF(OR(Compos!A6="Lee Sin",Compos!A6="LeeSin",Compos!A6="Lee ",Compos!A6="Sin"),5,0)))))</f>
        <v>0</v>
      </c>
      <c r="I63" s="14">
        <f>IF(OR(Compos!D2="Lee Sin",Compos!D2="LeeSin",Compos!D2="Lee ",Compos!D2="Sin"),1,IF(OR(Compos!D3="Lee Sin",Compos!D3="LeeSin",Compos!D3="Lee ",Compos!D3="Sin"),2,IF(OR(Compos!D4="Lee Sin",Compos!D4="LeeSin",Compos!D4="Lee ",Compos!D4="Sin"),3,IF(OR(Compos!D5="Lee Sin",Compos!D5="LeeSin",Compos!D5="Lee ",Compos!D5="Sin"),4,IF(OR(Compos!D6="Lee Sin",Compos!D6="LeeSin",Compos!D6="Lee ",Compos!D6="Sin"),5,0)))))</f>
        <v>0</v>
      </c>
      <c r="J63" s="34">
        <f>IF(I63=1,Pondération!B$3*(B63-D63),IF(I63=2,Pondération!B$4*(B63-D63),IF(I63=3,Pondération!B$5*(B63-D63),IF(I63=4,Pondération!B$6*(B63-D63),IF(I63=5,Pondération!B$7*(B63-D63),0)))))</f>
        <v>0</v>
      </c>
      <c r="K63" s="34">
        <f>IF(H63=5,Pondération!B$7*(A63-E63),0)</f>
        <v>0</v>
      </c>
      <c r="L63" s="34">
        <f>IF(I63=5,Pondération!B$7*(B63-D63),IF(I63=4,Pondération!B$6*(B63-D63),0))</f>
        <v>0</v>
      </c>
      <c r="M63" s="34">
        <f>IF(H63=1,Pondération!B$3*(A63-E63),IF(H63=2,Pondération!B$4*(A63-E63),IF(H63=3,Pondération!B$5*(A63-E63),IF(H63=4,Pondération!B$6*(A63-E63),IF(H63=5,Pondération!B$7*(A63-E63),0)))))</f>
        <v>0</v>
      </c>
      <c r="N63" s="34">
        <f t="shared" si="0"/>
        <v>0</v>
      </c>
      <c r="O63" s="34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34"/>
    </row>
    <row r="64" spans="1:42" ht="17.25" thickTop="1" thickBot="1" x14ac:dyDescent="0.25">
      <c r="A64" s="3"/>
      <c r="B64" s="3"/>
      <c r="C64" s="7" t="s">
        <v>74</v>
      </c>
      <c r="D64" s="5"/>
      <c r="E64" s="6"/>
      <c r="F64" s="34"/>
      <c r="G64" s="7" t="s">
        <v>74</v>
      </c>
      <c r="H64" s="14">
        <f>IF(OR(Compos!A2="Leona",Compos!A2="Leo"),1,IF(OR(Compos!A3="Leona",Compos!A3="Leo"),2,IF(OR(Compos!A4="Leona",Compos!A4="Leo"),3,IF(OR(Compos!A5="Leona",Compos!A5="Leo"),4,IF(OR(Compos!A6="Leona",Compos!A6="Leo"),5,0)))))</f>
        <v>0</v>
      </c>
      <c r="I64" s="14">
        <f>IF(OR(Compos!D2="Leona",Compos!D2="Leo"),1,IF(OR(Compos!D3="Leona",Compos!D3="Leo"),2,IF(OR(Compos!D4="Leona",Compos!D4="Leo"),3,IF(OR(Compos!D5="Leona",Compos!D5="Leo"),4,IF(OR(Compos!D6="Leona",Compos!D6="Leo"),5,0)))))</f>
        <v>0</v>
      </c>
      <c r="J64" s="34">
        <f>IF(I64=1,Pondération!B$3*(B64-D64),IF(I64=2,Pondération!B$4*(B64-D64),IF(I64=3,Pondération!B$5*(B64-D64),IF(I64=4,Pondération!B$6*(B64-D64),IF(I64=5,Pondération!B$7*(B64-D64),0)))))</f>
        <v>0</v>
      </c>
      <c r="K64" s="34">
        <f>IF(H64=5,Pondération!B$7*(A64-E64),0)</f>
        <v>0</v>
      </c>
      <c r="L64" s="34">
        <f>IF(I64=5,Pondération!B$7*(B64-D64),IF(I64=4,Pondération!B$6*(B64-D64),0))</f>
        <v>0</v>
      </c>
      <c r="M64" s="34">
        <f>IF(H64=1,Pondération!B$3*(A64-E64),IF(H64=2,Pondération!B$4*(A64-E64),IF(H64=3,Pondération!B$5*(A64-E64),IF(H64=4,Pondération!B$6*(A64-E64),IF(H64=5,Pondération!B$7*(A64-E64),0)))))</f>
        <v>0</v>
      </c>
      <c r="N64" s="34">
        <f t="shared" si="0"/>
        <v>0</v>
      </c>
      <c r="O64" s="34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34"/>
    </row>
    <row r="65" spans="1:42" ht="17.25" thickTop="1" thickBot="1" x14ac:dyDescent="0.25">
      <c r="A65" s="3"/>
      <c r="B65" s="3"/>
      <c r="C65" s="7" t="s">
        <v>75</v>
      </c>
      <c r="D65" s="5"/>
      <c r="E65" s="6"/>
      <c r="F65" s="34"/>
      <c r="G65" s="7" t="s">
        <v>75</v>
      </c>
      <c r="H65" s="14">
        <f>IF(OR(Compos!A2="Lissandra",Compos!A2="Liss"),1,IF(OR(Compos!A3="Lissandra",Compos!A3="Liss"),2,IF(OR(Compos!A4="Lissandra",Compos!A4="Liss"),3,IF(OR(Compos!A5="Lissandra",Compos!A5="Liss"),4,IF(OR(Compos!A6="Lissandra",Compos!A6="Liss"),5,0)))))</f>
        <v>0</v>
      </c>
      <c r="I65" s="14">
        <f>IF(OR(Compos!D2="Lissandra",Compos!D2="Liss"),1,IF(OR(Compos!D3="Lissandra",Compos!D3="Liss"),2,IF(OR(Compos!D4="Lissandra",Compos!D4="Liss"),3,IF(OR(Compos!D5="Lissandra",Compos!D5="Liss"),4,IF(OR(Compos!D6="Lissandra",Compos!D6="Liss"),5,0)))))</f>
        <v>0</v>
      </c>
      <c r="J65" s="34">
        <f>IF(I65=1,Pondération!B$3*(B65-D65),IF(I65=2,Pondération!B$4*(B65-D65),IF(I65=3,Pondération!B$5*(B65-D65),IF(I65=4,Pondération!B$6*(B65-D65),IF(I65=5,Pondération!B$7*(B65-D65),0)))))</f>
        <v>0</v>
      </c>
      <c r="K65" s="34">
        <f>IF(H65=5,Pondération!B$7*(A65-E65),0)</f>
        <v>0</v>
      </c>
      <c r="L65" s="34">
        <f>IF(I65=5,Pondération!B$7*(B65-D65),IF(I65=4,Pondération!B$6*(B65-D65),0))</f>
        <v>0</v>
      </c>
      <c r="M65" s="34">
        <f>IF(H65=1,Pondération!B$3*(A65-E65),IF(H65=2,Pondération!B$4*(A65-E65),IF(H65=3,Pondération!B$5*(A65-E65),IF(H65=4,Pondération!B$6*(A65-E65),IF(H65=5,Pondération!B$7*(A65-E65),0)))))</f>
        <v>0</v>
      </c>
      <c r="N65" s="34">
        <f t="shared" si="0"/>
        <v>0</v>
      </c>
      <c r="O65" s="34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34"/>
    </row>
    <row r="66" spans="1:42" ht="17.25" thickTop="1" thickBot="1" x14ac:dyDescent="0.25">
      <c r="A66" s="3"/>
      <c r="B66" s="3"/>
      <c r="C66" s="7" t="s">
        <v>76</v>
      </c>
      <c r="D66" s="5"/>
      <c r="E66" s="6"/>
      <c r="F66" s="34"/>
      <c r="G66" s="7" t="s">
        <v>76</v>
      </c>
      <c r="H66" s="14">
        <f>IF(OR(Compos!A2="Lucian",Compos!A2="Luc"),1,IF(OR(Compos!A3="Lucian",Compos!A3="Luc"),2,IF(OR(Compos!A4="Lucian",Compos!A4="Luc"),3,IF(OR(Compos!A5="Lucian",Compos!A5="Luc"),4,IF(OR(Compos!A6="Lucian",Compos!A6="Luc"),5,0)))))</f>
        <v>0</v>
      </c>
      <c r="I66" s="14">
        <f>IF(OR(Compos!D2="Lucian",Compos!D2="Luc"),1,IF(OR(Compos!D3="Lucian",Compos!D3="Luc"),2,IF(OR(Compos!D4="Lucian",Compos!D4="Luc"),3,IF(OR(Compos!D5="Lucian",Compos!D5="Luc"),4,IF(OR(Compos!D6="Lucian",Compos!D6="Luc"),5,0)))))</f>
        <v>0</v>
      </c>
      <c r="J66" s="34">
        <f>IF(I66=1,Pondération!B$3*(B66-D66),IF(I66=2,Pondération!B$4*(B66-D66),IF(I66=3,Pondération!B$5*(B66-D66),IF(I66=4,Pondération!B$6*(B66-D66),IF(I66=5,Pondération!B$7*(B66-D66),0)))))</f>
        <v>0</v>
      </c>
      <c r="K66" s="34">
        <f>IF(H66=5,Pondération!B$7*(A66-E66),0)</f>
        <v>0</v>
      </c>
      <c r="L66" s="34">
        <f>IF(I66=5,Pondération!B$7*(B66-D66),IF(I66=4,Pondération!B$6*(B66-D66),0))</f>
        <v>0</v>
      </c>
      <c r="M66" s="34">
        <f>IF(H66=1,Pondération!B$3*(A66-E66),IF(H66=2,Pondération!B$4*(A66-E66),IF(H66=3,Pondération!B$5*(A66-E66),IF(H66=4,Pondération!B$6*(A66-E66),IF(H66=5,Pondération!B$7*(A66-E66),0)))))</f>
        <v>0</v>
      </c>
      <c r="N66" s="34">
        <f t="shared" ref="N66:N131" si="1">D66+E66-B66-A66</f>
        <v>0</v>
      </c>
      <c r="O66" s="34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34"/>
    </row>
    <row r="67" spans="1:42" ht="17.25" thickTop="1" thickBot="1" x14ac:dyDescent="0.25">
      <c r="A67" s="3"/>
      <c r="B67" s="3"/>
      <c r="C67" s="7" t="s">
        <v>77</v>
      </c>
      <c r="D67" s="5"/>
      <c r="E67" s="6"/>
      <c r="F67" s="34"/>
      <c r="G67" s="7" t="s">
        <v>77</v>
      </c>
      <c r="H67" s="14">
        <f>IF(Compos!A2="Lulu",1,IF(Compos!A3="Lulu",2,IF(Compos!A4="Lulu",3,IF(Compos!A5="Lulu",4,IF(Compos!A6="Lulu",5,0)))))</f>
        <v>0</v>
      </c>
      <c r="I67" s="14">
        <f>IF(Compos!D2="Lulu",1,IF(Compos!D3="Lulu",2,IF(Compos!D4="Lulu",3,IF(Compos!D5="Lulu",4,IF(Compos!D6="Lulu",5,0)))))</f>
        <v>0</v>
      </c>
      <c r="J67" s="34">
        <f>IF(I67=1,Pondération!B$3*(B67-D67),IF(I67=2,Pondération!B$4*(B67-D67),IF(I67=3,Pondération!B$5*(B67-D67),IF(I67=4,Pondération!B$6*(B67-D67),IF(I67=5,Pondération!B$7*(B67-D67),0)))))</f>
        <v>0</v>
      </c>
      <c r="K67" s="34">
        <f>IF(H67=5,Pondération!B$7*(A67-E67),0)</f>
        <v>0</v>
      </c>
      <c r="L67" s="34">
        <f>IF(I67=5,Pondération!B$7*(B67-D67),IF(I67=4,Pondération!B$6*(B67-D67),0))</f>
        <v>0</v>
      </c>
      <c r="M67" s="34">
        <f>IF(H67=1,Pondération!B$3*(A67-E67),IF(H67=2,Pondération!B$4*(A67-E67),IF(H67=3,Pondération!B$5*(A67-E67),IF(H67=4,Pondération!B$6*(A67-E67),IF(H67=5,Pondération!B$7*(A67-E67),0)))))</f>
        <v>0</v>
      </c>
      <c r="N67" s="34">
        <f t="shared" si="1"/>
        <v>0</v>
      </c>
      <c r="O67" s="34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34"/>
    </row>
    <row r="68" spans="1:42" ht="17.25" thickTop="1" thickBot="1" x14ac:dyDescent="0.25">
      <c r="A68" s="3"/>
      <c r="B68" s="3"/>
      <c r="C68" s="7" t="s">
        <v>78</v>
      </c>
      <c r="D68" s="5"/>
      <c r="E68" s="6"/>
      <c r="F68" s="34"/>
      <c r="G68" s="7" t="s">
        <v>78</v>
      </c>
      <c r="H68" s="14">
        <f>IF(Compos!A2="Lux",1,IF(Compos!A3="Lux",2,IF(Compos!A4="Lux",3,IF(Compos!A5="Lux",4,IF(Compos!A6="Lux",5,0)))))</f>
        <v>0</v>
      </c>
      <c r="I68" s="14">
        <f>IF(Compos!D2="Lux",1,IF(Compos!D3="Lux",2,IF(Compos!D4="Lux",3,IF(Compos!D5="Lux",4,IF(Compos!D6="Lux",5,0)))))</f>
        <v>0</v>
      </c>
      <c r="J68" s="34">
        <f>IF(I68=1,Pondération!B$3*(B68-D68),IF(I68=2,Pondération!B$4*(B68-D68),IF(I68=3,Pondération!B$5*(B68-D68),IF(I68=4,Pondération!B$6*(B68-D68),IF(I68=5,Pondération!B$7*(B68-D68),0)))))</f>
        <v>0</v>
      </c>
      <c r="K68" s="34">
        <f>IF(H68=5,Pondération!B$7*(A68-E68),0)</f>
        <v>0</v>
      </c>
      <c r="L68" s="34">
        <f>IF(I68=5,Pondération!B$7*(B68-D68),IF(I68=4,Pondération!B$6*(B68-D68),0))</f>
        <v>0</v>
      </c>
      <c r="M68" s="34">
        <f>IF(H68=1,Pondération!B$3*(A68-E68),IF(H68=2,Pondération!B$4*(A68-E68),IF(H68=3,Pondération!B$5*(A68-E68),IF(H68=4,Pondération!B$6*(A68-E68),IF(H68=5,Pondération!B$7*(A68-E68),0)))))</f>
        <v>0</v>
      </c>
      <c r="N68" s="34">
        <f t="shared" si="1"/>
        <v>0</v>
      </c>
      <c r="O68" s="34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34"/>
    </row>
    <row r="69" spans="1:42" ht="17.25" thickTop="1" thickBot="1" x14ac:dyDescent="0.25">
      <c r="A69" s="3"/>
      <c r="B69" s="3"/>
      <c r="C69" s="7" t="s">
        <v>79</v>
      </c>
      <c r="D69" s="5"/>
      <c r="E69" s="6"/>
      <c r="F69" s="34"/>
      <c r="G69" s="7" t="s">
        <v>79</v>
      </c>
      <c r="H69" s="14">
        <f>IF(OR(Compos!A2="Maitre Yi",Compos!A2="Yi",Compos!A2="Master Yi"),1,IF(OR(Compos!A3="Maitre Yi",Compos!A3="Yi",Compos!A3="Master Yi"),2,IF(OR(Compos!A4="Maitre Yi",Compos!A4="Yi",Compos!A4="Master Yi"),3,IF(OR(Compos!A5="Maitre Yi",Compos!A5="Yi",Compos!A5="Master Yi"),4,IF(OR(Compos!A6="Maitre Yi",Compos!A6="Yi",Compos!A6="Master Yi"),5,0)))))</f>
        <v>0</v>
      </c>
      <c r="I69" s="14">
        <f>IF(OR(Compos!D2="Maitre Yi",Compos!D2="Yi",Compos!D2="Master Yi"),1,IF(OR(Compos!D3="Maitre Yi",Compos!D3="Yi",Compos!D3="Master Yi"),2,IF(OR(Compos!D4="Maitre Yi",Compos!D4="Yi",Compos!D4="Master Yi"),3,IF(OR(Compos!D5="Maitre Yi",Compos!D5="Yi",Compos!D5="Master Yi"),4,IF(OR(Compos!D6="Maitre Yi",Compos!D6="Yi",Compos!D6="Master Yi"),5,0)))))</f>
        <v>0</v>
      </c>
      <c r="J69" s="34">
        <f>IF(I69=1,Pondération!B$3*(B69-D69),IF(I69=2,Pondération!B$4*(B69-D69),IF(I69=3,Pondération!B$5*(B69-D69),IF(I69=4,Pondération!B$6*(B69-D69),IF(I69=5,Pondération!B$7*(B69-D69),0)))))</f>
        <v>0</v>
      </c>
      <c r="K69" s="34">
        <f>IF(H69=5,Pondération!B$7*(A69-E69),0)</f>
        <v>0</v>
      </c>
      <c r="L69" s="34">
        <f>IF(I69=5,Pondération!B$7*(B69-D69),IF(I69=4,Pondération!B$6*(B69-D69),0))</f>
        <v>0</v>
      </c>
      <c r="M69" s="34">
        <f>IF(H69=1,Pondération!B$3*(A69-E69),IF(H69=2,Pondération!B$4*(A69-E69),IF(H69=3,Pondération!B$5*(A69-E69),IF(H69=4,Pondération!B$6*(A69-E69),IF(H69=5,Pondération!B$7*(A69-E69),0)))))</f>
        <v>0</v>
      </c>
      <c r="N69" s="34">
        <f t="shared" si="1"/>
        <v>0</v>
      </c>
      <c r="O69" s="34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34"/>
    </row>
    <row r="70" spans="1:42" ht="17.25" thickTop="1" thickBot="1" x14ac:dyDescent="0.25">
      <c r="A70" s="3"/>
      <c r="B70" s="3"/>
      <c r="C70" s="7" t="s">
        <v>80</v>
      </c>
      <c r="D70" s="5"/>
      <c r="E70" s="6"/>
      <c r="F70" s="34"/>
      <c r="G70" s="7" t="s">
        <v>80</v>
      </c>
      <c r="H70" s="14">
        <f>IF(OR(Compos!A2="Malphite",Compos!A2="Malph"),1,IF(OR(Compos!A3="Malphite",Compos!A3="Malph"),2,IF(OR(Compos!A4="Malphite",Compos!A4="Malph"),3,IF(OR(Compos!A5="Malphite",Compos!A5="Malph"),4,IF(OR(Compos!A6="Malphite",Compos!A6="Malph"),5,0)))))</f>
        <v>0</v>
      </c>
      <c r="I70" s="14">
        <f>IF(OR(Compos!D2="Malphite",Compos!D2="Malph"),1,IF(OR(Compos!D3="Malphite",Compos!D3="Malph"),2,IF(OR(Compos!D4="Malphite",Compos!D4="Malph"),3,IF(OR(Compos!D5="Malphite",Compos!D5="Malph"),4,IF(OR(Compos!D6="Malphite",Compos!D6="Malph"),5,0)))))</f>
        <v>0</v>
      </c>
      <c r="J70" s="34">
        <f>IF(I70=1,Pondération!B$3*(B70-D70),IF(I70=2,Pondération!B$4*(B70-D70),IF(I70=3,Pondération!B$5*(B70-D70),IF(I70=4,Pondération!B$6*(B70-D70),IF(I70=5,Pondération!B$7*(B70-D70),0)))))</f>
        <v>0</v>
      </c>
      <c r="K70" s="34">
        <f>IF(H70=5,Pondération!B$7*(A70-E70),0)</f>
        <v>0</v>
      </c>
      <c r="L70" s="34">
        <f>IF(I70=5,Pondération!B$7*(B70-D70),IF(I70=4,Pondération!B$6*(B70-D70),0))</f>
        <v>0</v>
      </c>
      <c r="M70" s="34">
        <f>IF(H70=1,Pondération!B$3*(A70-E70),IF(H70=2,Pondération!B$4*(A70-E70),IF(H70=3,Pondération!B$5*(A70-E70),IF(H70=4,Pondération!B$6*(A70-E70),IF(H70=5,Pondération!B$7*(A70-E70),0)))))</f>
        <v>0</v>
      </c>
      <c r="N70" s="34">
        <f t="shared" si="1"/>
        <v>0</v>
      </c>
      <c r="O70" s="34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34"/>
    </row>
    <row r="71" spans="1:42" ht="17.25" thickTop="1" thickBot="1" x14ac:dyDescent="0.25">
      <c r="A71" s="3"/>
      <c r="B71" s="3"/>
      <c r="C71" s="7" t="s">
        <v>81</v>
      </c>
      <c r="D71" s="5"/>
      <c r="E71" s="6"/>
      <c r="F71" s="34"/>
      <c r="G71" s="7" t="s">
        <v>81</v>
      </c>
      <c r="H71" s="14">
        <f>IF(OR(Compos!A2="Malzahar",Compos!A2="Malz"),1,IF(OR(Compos!A3="Malzahar",Compos!A3="Malz"),2,IF(OR(Compos!A4="Malzahar",Compos!A4="Malz"),3,IF(OR(Compos!A5="Malzahar",Compos!A5="Malz"),4,IF(OR(Compos!A6="Malzahar",Compos!A6="Malz"),5,0)))))</f>
        <v>0</v>
      </c>
      <c r="I71" s="14">
        <f>IF(OR(Compos!D2="Malzahar",Compos!D2="Malz"),1,IF(OR(Compos!D3="Malzahar",Compos!D3="Malz"),2,IF(OR(Compos!D4="Malzahar",Compos!D4="Malz"),3,IF(OR(Compos!D5="Malzahar",Compos!D5="Malz"),4,IF(OR(Compos!D6="Malzahar",Compos!D6="Malz"),5,0)))))</f>
        <v>0</v>
      </c>
      <c r="J71" s="34">
        <f>IF(I71=1,Pondération!B$3*(B71-D71),IF(I71=2,Pondération!B$4*(B71-D71),IF(I71=3,Pondération!B$5*(B71-D71),IF(I71=4,Pondération!B$6*(B71-D71),IF(I71=5,Pondération!B$7*(B71-D71),0)))))</f>
        <v>0</v>
      </c>
      <c r="K71" s="34">
        <f>IF(H71=5,Pondération!B$7*(A71-E71),0)</f>
        <v>0</v>
      </c>
      <c r="L71" s="34">
        <f>IF(I71=5,Pondération!B$7*(B71-D71),IF(I71=4,Pondération!B$6*(B71-D71),0))</f>
        <v>0</v>
      </c>
      <c r="M71" s="34">
        <f>IF(H71=1,Pondération!B$3*(A71-E71),IF(H71=2,Pondération!B$4*(A71-E71),IF(H71=3,Pondération!B$5*(A71-E71),IF(H71=4,Pondération!B$6*(A71-E71),IF(H71=5,Pondération!B$7*(A71-E71),0)))))</f>
        <v>0</v>
      </c>
      <c r="N71" s="34">
        <f t="shared" si="1"/>
        <v>0</v>
      </c>
      <c r="O71" s="34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34"/>
    </row>
    <row r="72" spans="1:42" ht="17.25" thickTop="1" thickBot="1" x14ac:dyDescent="0.25">
      <c r="A72" s="3"/>
      <c r="B72" s="3"/>
      <c r="C72" s="7" t="s">
        <v>82</v>
      </c>
      <c r="D72" s="5"/>
      <c r="E72" s="6"/>
      <c r="F72" s="34"/>
      <c r="G72" s="7" t="s">
        <v>82</v>
      </c>
      <c r="H72" s="14">
        <f>IF(OR(Compos!A2="Maokai",Compos!A2="Mao"),1,IF(OR(Compos!A3="Maokai",Compos!A3="Mao"),2,IF(OR(Compos!A4="Maokai",Compos!A4="Mao"),3,IF(OR(Compos!A5="Maokai",Compos!A5="Mao"),4,IF(OR(Compos!A6="Maokai",Compos!A6="Mao"),5,0)))))</f>
        <v>0</v>
      </c>
      <c r="I72" s="14">
        <f>IF(OR(Compos!D2="Maokai",Compos!D2="Mao"),1,IF(OR(Compos!D3="Maokai",Compos!D3="Mao"),2,IF(OR(Compos!D4="Maokai",Compos!D4="Mao"),3,IF(OR(Compos!D5="Maokai",Compos!D5="Mao"),4,IF(OR(Compos!D6="Maokai",Compos!D6="Mao"),5,0)))))</f>
        <v>0</v>
      </c>
      <c r="J72" s="34">
        <f>IF(I72=1,Pondération!B$3*(B72-D72),IF(I72=2,Pondération!B$4*(B72-D72),IF(I72=3,Pondération!B$5*(B72-D72),IF(I72=4,Pondération!B$6*(B72-D72),IF(I72=5,Pondération!B$7*(B72-D72),0)))))</f>
        <v>0</v>
      </c>
      <c r="K72" s="34">
        <f>IF(H72=5,Pondération!B$7*(A72-E72),0)</f>
        <v>0</v>
      </c>
      <c r="L72" s="34">
        <f>IF(I72=5,Pondération!B$7*(B72-D72),IF(I72=4,Pondération!B$6*(B72-D72),0))</f>
        <v>0</v>
      </c>
      <c r="M72" s="34">
        <f>IF(H72=1,Pondération!B$3*(A72-E72),IF(H72=2,Pondération!B$4*(A72-E72),IF(H72=3,Pondération!B$5*(A72-E72),IF(H72=4,Pondération!B$6*(A72-E72),IF(H72=5,Pondération!B$7*(A72-E72),0)))))</f>
        <v>0</v>
      </c>
      <c r="N72" s="34">
        <f t="shared" si="1"/>
        <v>0</v>
      </c>
      <c r="O72" s="34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34"/>
    </row>
    <row r="73" spans="1:42" ht="16.5" customHeight="1" thickTop="1" thickBot="1" x14ac:dyDescent="0.25">
      <c r="A73" s="3"/>
      <c r="B73" s="3"/>
      <c r="C73" s="7" t="s">
        <v>83</v>
      </c>
      <c r="D73" s="5"/>
      <c r="E73" s="6"/>
      <c r="F73" s="34"/>
      <c r="G73" s="7" t="s">
        <v>83</v>
      </c>
      <c r="H73" s="14">
        <f>IF(OR(Compos!A2="Miss Fortune",Compos!A2="MF",Compos!A2="Miss ",Compos!A2="Fortune"),1,IF(OR(Compos!A3="Miss Fortune",Compos!A3="MF",Compos!A3="Miss ",Compos!A3="Fortune"),2,IF(OR(Compos!A4="Miss Fortune",Compos!A4="MF",Compos!A4="Miss ",Compos!A4="Fortune"),3,IF(OR(Compos!A5="Miss Fortune",Compos!A5="MF",Compos!A5="Miss ",Compos!A5="FORTUNE"),4,IF(OR(Compos!A6="Miss Fortune",Compos!A6="MF",Compos!A6="Miss ",Compos!A6="Fortune"),5,0)))))</f>
        <v>0</v>
      </c>
      <c r="I73" s="14">
        <f>IF(OR(Compos!D2="Miss Fortune",Compos!D2="MF",Compos!D2="Miss ",Compos!D2="Fortune"),1,IF(OR(Compos!D3="Miss Fortune",Compos!D3="MF",Compos!D3="Miss ",Compos!D3="Fortune"),2,IF(OR(Compos!D4="Miss Fortune",Compos!D4="MF",Compos!D4="Miss ",Compos!D4="Fortune"),3,IF(OR(Compos!D5="Miss Fortune",Compos!D5="MF",Compos!D5="Miss ",Compos!D5="Fortune"),4,IF(OR(Compos!D6="Miss Fortune",Compos!D6="MF",Compos!D6="Miss ",Compos!D6="Fortune"),5,0)))))</f>
        <v>0</v>
      </c>
      <c r="J73" s="34">
        <f>IF(I73=1,Pondération!B$3*(B73-D73),IF(I73=2,Pondération!B$4*(B73-D73),IF(I73=3,Pondération!B$5*(B73-D73),IF(I73=4,Pondération!B$6*(B73-D73),IF(I73=5,Pondération!B$7*(B73-D73),0)))))</f>
        <v>0</v>
      </c>
      <c r="K73" s="34">
        <f>IF(H73=5,Pondération!B$7*(A73-E73),0)</f>
        <v>0</v>
      </c>
      <c r="L73" s="34">
        <f>IF(I73=5,Pondération!B$7*(B73-D73),IF(I73=4,Pondération!B$6*(B73-D73),0))</f>
        <v>0</v>
      </c>
      <c r="M73" s="34">
        <f>IF(H73=1,Pondération!B$3*(A73-E73),IF(H73=2,Pondération!B$4*(A73-E73),IF(H73=3,Pondération!B$5*(A73-E73),IF(H73=4,Pondération!B$6*(A73-E73),IF(H73=5,Pondération!B$7*(A73-E73),0)))))</f>
        <v>0</v>
      </c>
      <c r="N73" s="34">
        <f t="shared" si="1"/>
        <v>0</v>
      </c>
      <c r="O73" s="34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34"/>
    </row>
    <row r="74" spans="1:42" ht="17.25" thickTop="1" thickBot="1" x14ac:dyDescent="0.25">
      <c r="A74" s="3"/>
      <c r="B74" s="3"/>
      <c r="C74" s="7" t="s">
        <v>84</v>
      </c>
      <c r="D74" s="5"/>
      <c r="E74" s="6"/>
      <c r="F74" s="34"/>
      <c r="G74" s="7" t="s">
        <v>84</v>
      </c>
      <c r="H74" s="14">
        <f>IF(OR(Compos!A2="Mordekaiser",Compos!A2="Kaiser",Compos!A2="Morde"),1,IF(OR(Compos!A3="Mordekaiser",Compos!A3="Kaiser",Compos!A3="Morde"),2,IF(OR(Compos!A4="Mordekaiser",Compos!A4="Kaiser",Compos!A4="Morde"),3,IF(OR(Compos!A5="Mordekaiser",Compos!A5="Kaiser",Compos!A5="Morde"),4,IF(OR(Compos!A6="Mordekaiser",Compos!A6="Kaiser",Compos!A6="Morde"),5,0)))))</f>
        <v>0</v>
      </c>
      <c r="I74" s="14">
        <f>IF(OR(Compos!D2="Mordekaiser",Compos!D2="Kaiser",Compos!D2="Morde"),1,IF(OR(Compos!D3="Mordekaiser",Compos!D3="Kaiser",Compos!D3="Morde"),2,IF(OR(Compos!D4="Mordekaiser",Compos!D4="Kaiser",Compos!D4="Morde"),3,IF(OR(Compos!D5="Mordekaiser",Compos!D5="Kaiser",Compos!D5="Morde"),4,IF(OR(Compos!D6="Mordekaiser",Compos!D6="Kaiser",Compos!D6="Morde"),5,0)))))</f>
        <v>0</v>
      </c>
      <c r="J74" s="34">
        <f>IF(I74=1,Pondération!B$3*(B74-D74),IF(I74=2,Pondération!B$4*(B74-D74),IF(I74=3,Pondération!B$5*(B74-D74),IF(I74=4,Pondération!B$6*(B74-D74),IF(I74=5,Pondération!B$7*(B74-D74),0)))))</f>
        <v>0</v>
      </c>
      <c r="K74" s="34">
        <f>IF(H74=5,Pondération!B$7*(A74-E74),0)</f>
        <v>0</v>
      </c>
      <c r="L74" s="34">
        <f>IF(I74=5,Pondération!B$7*(B74-D74),IF(I74=4,Pondération!B$6*(B74-D74),0))</f>
        <v>0</v>
      </c>
      <c r="M74" s="34">
        <f>IF(H74=1,Pondération!B$3*(A74-E74),IF(H74=2,Pondération!B$4*(A74-E74),IF(H74=3,Pondération!B$5*(A74-E74),IF(H74=4,Pondération!B$6*(A74-E74),IF(H74=5,Pondération!B$7*(A74-E74),0)))))</f>
        <v>0</v>
      </c>
      <c r="N74" s="34">
        <f t="shared" si="1"/>
        <v>0</v>
      </c>
      <c r="O74" s="34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34"/>
    </row>
    <row r="75" spans="1:42" ht="17.25" thickTop="1" thickBot="1" x14ac:dyDescent="0.25">
      <c r="A75" s="3"/>
      <c r="B75" s="3"/>
      <c r="C75" s="7" t="s">
        <v>85</v>
      </c>
      <c r="D75" s="5"/>
      <c r="E75" s="6"/>
      <c r="F75" s="34"/>
      <c r="G75" s="7" t="s">
        <v>85</v>
      </c>
      <c r="H75" s="14">
        <f>IF(OR(Compos!A2="Morgana",Compos!A2="Morg"),1,IF(OR(Compos!A3="Morgana",Compos!A3="Morg"),2,IF(OR(Compos!A4="Morgana",Compos!A4="Morg"),3,IF(OR(Compos!A5="Morgana",Compos!A5="Morg"),4,IF(OR(Compos!A6="Morgana",Compos!A6="Morg"),5,0)))))</f>
        <v>0</v>
      </c>
      <c r="I75" s="14">
        <f>IF(OR(Compos!D2="Morgana",Compos!D2="Morg"),1,IF(OR(Compos!D3="Morgana",Compos!D3="Morg"),2,IF(OR(Compos!D4="Morgana",Compos!D4="Morg"),3,IF(OR(Compos!D5="Morgana",Compos!D5="Morg"),4,IF(OR(Compos!D6="Morgana",Compos!D6="Morg"),5,0)))))</f>
        <v>0</v>
      </c>
      <c r="J75" s="34">
        <f>IF(I75=1,Pondération!B$3*(B75-D75),IF(I75=2,Pondération!B$4*(B75-D75),IF(I75=3,Pondération!B$5*(B75-D75),IF(I75=4,Pondération!B$6*(B75-D75),IF(I75=5,Pondération!B$7*(B75-D75),0)))))</f>
        <v>0</v>
      </c>
      <c r="K75" s="34">
        <f>IF(H75=5,Pondération!B$7*(A75-E75),0)</f>
        <v>0</v>
      </c>
      <c r="L75" s="34">
        <f>IF(I75=5,Pondération!B$7*(B75-D75),IF(I75=4,Pondération!B$6*(B75-D75),0))</f>
        <v>0</v>
      </c>
      <c r="M75" s="34">
        <f>IF(H75=1,Pondération!B$3*(A75-E75),IF(H75=2,Pondération!B$4*(A75-E75),IF(H75=3,Pondération!B$5*(A75-E75),IF(H75=4,Pondération!B$6*(A75-E75),IF(H75=5,Pondération!B$7*(A75-E75),0)))))</f>
        <v>0</v>
      </c>
      <c r="N75" s="34">
        <f t="shared" si="1"/>
        <v>0</v>
      </c>
      <c r="O75" s="34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34"/>
    </row>
    <row r="76" spans="1:42" ht="17.25" thickTop="1" thickBot="1" x14ac:dyDescent="0.25">
      <c r="A76" s="3"/>
      <c r="B76" s="3"/>
      <c r="C76" s="7" t="s">
        <v>86</v>
      </c>
      <c r="D76" s="5"/>
      <c r="E76" s="6"/>
      <c r="F76" s="34"/>
      <c r="G76" s="7" t="s">
        <v>86</v>
      </c>
      <c r="H76" s="14">
        <f>IF(Compos!A2="Nami",1,IF(Compos!A3="Nami",2,IF(Compos!A4="Nami",3,IF(Compos!A5="Nami",4,IF(Compos!A6="Nami",5,0)))))</f>
        <v>0</v>
      </c>
      <c r="I76" s="14">
        <f>IF(Compos!D2="Nami",1,IF(Compos!D3="Nami",2,IF(Compos!D4="Nami",3,IF(Compos!D5="Nami",4,IF(Compos!D6="Nami",5,0)))))</f>
        <v>0</v>
      </c>
      <c r="J76" s="34">
        <f>IF(I76=1,Pondération!B$3*(B76-D76),IF(I76=2,Pondération!B$4*(B76-D76),IF(I76=3,Pondération!B$5*(B76-D76),IF(I76=4,Pondération!B$6*(B76-D76),IF(I76=5,Pondération!B$7*(B76-D76),0)))))</f>
        <v>0</v>
      </c>
      <c r="K76" s="34">
        <f>IF(H76=5,Pondération!B$7*(A76-E76),0)</f>
        <v>0</v>
      </c>
      <c r="L76" s="34">
        <f>IF(I76=5,Pondération!B$7*(B76-D76),IF(I76=4,Pondération!B$6*(B76-D76),0))</f>
        <v>0</v>
      </c>
      <c r="M76" s="34">
        <f>IF(H76=1,Pondération!B$3*(A76-E76),IF(H76=2,Pondération!B$4*(A76-E76),IF(H76=3,Pondération!B$5*(A76-E76),IF(H76=4,Pondération!B$6*(A76-E76),IF(H76=5,Pondération!B$7*(A76-E76),0)))))</f>
        <v>0</v>
      </c>
      <c r="N76" s="34">
        <f t="shared" si="1"/>
        <v>0</v>
      </c>
      <c r="O76" s="34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34"/>
    </row>
    <row r="77" spans="1:42" ht="17.25" thickTop="1" thickBot="1" x14ac:dyDescent="0.25">
      <c r="A77" s="3"/>
      <c r="B77" s="3"/>
      <c r="C77" s="7" t="s">
        <v>87</v>
      </c>
      <c r="D77" s="5"/>
      <c r="E77" s="6"/>
      <c r="F77" s="34"/>
      <c r="G77" s="7" t="s">
        <v>87</v>
      </c>
      <c r="H77" s="14">
        <f>IF(Compos!A2="Nasus",1,IF(Compos!A3="Nasus",2,IF(Compos!A4="Nasus",3,IF(Compos!A5="Nasus",4,IF(Compos!A6="Nasus",5,0)))))</f>
        <v>0</v>
      </c>
      <c r="I77" s="14">
        <f>IF(Compos!D2="Nasus",1,IF(Compos!D3="Nasus",2,IF(Compos!D4="Nasus",3,IF(Compos!D5="Nasus",4,IF(Compos!D6="Nasus",5,0)))))</f>
        <v>0</v>
      </c>
      <c r="J77" s="34">
        <f>IF(I77=1,Pondération!B$3*(B77-D77),IF(I77=2,Pondération!B$4*(B77-D77),IF(I77=3,Pondération!B$5*(B77-D77),IF(I77=4,Pondération!B$6*(B77-D77),IF(I77=5,Pondération!B$7*(B77-D77),0)))))</f>
        <v>0</v>
      </c>
      <c r="K77" s="34">
        <f>IF(H77=5,Pondération!B$7*(A77-E77),0)</f>
        <v>0</v>
      </c>
      <c r="L77" s="34">
        <f>IF(I77=5,Pondération!B$7*(B77-D77),IF(I77=4,Pondération!B$6*(B77-D77),0))</f>
        <v>0</v>
      </c>
      <c r="M77" s="34">
        <f>IF(H77=1,Pondération!B$3*(A77-E77),IF(H77=2,Pondération!B$4*(A77-E77),IF(H77=3,Pondération!B$5*(A77-E77),IF(H77=4,Pondération!B$6*(A77-E77),IF(H77=5,Pondération!B$7*(A77-E77),0)))))</f>
        <v>0</v>
      </c>
      <c r="N77" s="34">
        <f t="shared" si="1"/>
        <v>0</v>
      </c>
      <c r="O77" s="34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34"/>
    </row>
    <row r="78" spans="1:42" ht="17.25" thickTop="1" thickBot="1" x14ac:dyDescent="0.25">
      <c r="A78" s="3"/>
      <c r="B78" s="3"/>
      <c r="C78" s="7" t="s">
        <v>88</v>
      </c>
      <c r="D78" s="5"/>
      <c r="E78" s="6"/>
      <c r="F78" s="34"/>
      <c r="G78" s="7" t="s">
        <v>88</v>
      </c>
      <c r="H78" s="14">
        <f>IF(OR(Compos!A2="Nautilus",Compos!A2="Nauti"),1,IF(OR(Compos!A3="Nautilus",Compos!A3="Nauti"),2,IF(OR(Compos!A4="Nautilus",Compos!A4="Nauti"),3,IF(OR(Compos!A5="Nautilus",Compos!A5="Nauti"),4,IF(OR(Compos!A6="Nautilus",Compos!A6="Nauti"),5,0)))))</f>
        <v>0</v>
      </c>
      <c r="I78" s="14">
        <f>IF(OR(Compos!D2="Nautilus",Compos!D2="Nauti"),1,IF(OR(Compos!D3="Nautilus",Compos!D3="Nauti"),2,IF(OR(Compos!D4="Nautilus",Compos!D4="Nauti"),3,IF(OR(Compos!D5="Nautilus",Compos!D5="Nauti"),4,IF(OR(Compos!D6="Nautilus",Compos!D6="Nauti"),5,0)))))</f>
        <v>0</v>
      </c>
      <c r="J78" s="34">
        <f>IF(I78=1,Pondération!B$3*(B78-D78),IF(I78=2,Pondération!B$4*(B78-D78),IF(I78=3,Pondération!B$5*(B78-D78),IF(I78=4,Pondération!B$6*(B78-D78),IF(I78=5,Pondération!B$7*(B78-D78),0)))))</f>
        <v>0</v>
      </c>
      <c r="K78" s="34">
        <f>IF(H78=5,Pondération!B$7*(A78-E78),0)</f>
        <v>0</v>
      </c>
      <c r="L78" s="34">
        <f>IF(I78=5,Pondération!B$7*(B78-D78),IF(I78=4,Pondération!B$6*(B78-D78),0))</f>
        <v>0</v>
      </c>
      <c r="M78" s="34">
        <f>IF(H78=1,Pondération!B$3*(A78-E78),IF(H78=2,Pondération!B$4*(A78-E78),IF(H78=3,Pondération!B$5*(A78-E78),IF(H78=4,Pondération!B$6*(A78-E78),IF(H78=5,Pondération!B$7*(A78-E78),0)))))</f>
        <v>0</v>
      </c>
      <c r="N78" s="34">
        <f t="shared" si="1"/>
        <v>0</v>
      </c>
      <c r="O78" s="34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34"/>
    </row>
    <row r="79" spans="1:42" s="42" customFormat="1" ht="17.25" thickTop="1" thickBot="1" x14ac:dyDescent="0.25">
      <c r="A79" s="3"/>
      <c r="B79" s="3"/>
      <c r="C79" s="7" t="s">
        <v>737</v>
      </c>
      <c r="D79" s="5"/>
      <c r="E79" s="6"/>
      <c r="G79" s="7" t="s">
        <v>737</v>
      </c>
      <c r="H79" s="14">
        <f>IF(OR(Compos!A2="Neeko",Compos!A2="Nee",Compos!A2="Ko ",Compos!A2="Neek"),1,IF(OR(Compos!A3="Neeko",Compos!A3="Nee",Compos!A3="Ko ",Compos!A3="Neek"),2,IF(OR(Compos!A4="Neeko",Compos!A4="Nee",Compos!A4="Ko ",Compos!A4="Neek"),3,IF(OR(Compos!A5="Neeko",Compos!A5="Nee",Compos!A5="Ko ",Compos!A5="Neek"),4,IF(OR(Compos!A6="Neeko",Compos!A6="Nee",Compos!A6="Ko ",Compos!A6="Neek"),5,0)))))</f>
        <v>0</v>
      </c>
      <c r="I79" s="14">
        <f>IF(OR(Compos!D2="Neeko",Compos!D2="Nee",Compos!D2="Ko ",Compos!D2="Neek"),1,IF(OR(Compos!D3="Neeko",Compos!D3="Nee",Compos!D3="Ko ",Compos!D3="Neek"),2,IF(OR(Compos!D4="Neeko",Compos!D4="Nee",Compos!D4="Ko ",Compos!D4="Neek"),3,IF(OR(Compos!D5="Neeko",Compos!D5="Nee",Compos!D5="Ko ",Compos!D5="Neek"),4,IF(OR(Compos!D6="Neeko",Compos!D6="Nee",Compos!D6="Ko ",Compos!D6="Neek"),5,0)))))</f>
        <v>0</v>
      </c>
      <c r="J79" s="42">
        <f>IF(I79=1,Pondération!B$3*(B79-D79),IF(I79=2,Pondération!B$4*(B79-D79),IF(I79=3,Pondération!B$5*(B79-D79),IF(I79=4,Pondération!B$6*(B79-D79),IF(I79=5,Pondération!B$7*(B79-D79),0)))))</f>
        <v>0</v>
      </c>
      <c r="K79" s="42">
        <f>IF(H79=5,Pondération!B$7*(A79-E79),0)</f>
        <v>0</v>
      </c>
      <c r="L79" s="42">
        <f>IF(I79=5,Pondération!B$7*(B79-D79),IF(I79=4,Pondération!B$6*(B79-D79),0))</f>
        <v>0</v>
      </c>
      <c r="M79" s="42">
        <f>IF(H79=1,Pondération!B$3*(A79-E79),IF(H79=2,Pondération!B$4*(A79-E79),IF(H79=3,Pondération!B$5*(A79-E79),IF(H79=4,Pondération!B$6*(A79-E79),IF(H79=5,Pondération!B$7*(A79-E79),0)))))</f>
        <v>0</v>
      </c>
      <c r="N79" s="42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2" ht="17.25" thickTop="1" thickBot="1" x14ac:dyDescent="0.25">
      <c r="A80" s="3"/>
      <c r="B80" s="3"/>
      <c r="C80" s="7" t="s">
        <v>89</v>
      </c>
      <c r="D80" s="5"/>
      <c r="E80" s="6"/>
      <c r="F80" s="34"/>
      <c r="G80" s="7" t="s">
        <v>89</v>
      </c>
      <c r="H80" s="14">
        <f>IF(OR(Compos!A2="Nidalee",Compos!A2="Nida"),1,IF(OR(Compos!A3="Nidalee",Compos!A3="Nida"),2,IF(OR(Compos!A4="Nidalee",Compos!A4="Nida"),3,IF(OR(Compos!A5="Nidalee",Compos!A5="Nida"),4,IF(OR(Compos!A6="Nidalee",Compos!A6="Nida"),5,0)))))</f>
        <v>0</v>
      </c>
      <c r="I80" s="14">
        <f>IF(OR(Compos!D2="Nidalee",Compos!D2="Nida"),1,IF(OR(Compos!D3="Nidalee",Compos!D3="Nida"),2,IF(OR(Compos!D4="Nidalee",Compos!D4="Nida"),3,IF(OR(Compos!D5="Nidalee",Compos!D5="Nida"),4,IF(OR(Compos!D6="Nidalee",Compos!D6="Nida"),5,0)))))</f>
        <v>0</v>
      </c>
      <c r="J80" s="34">
        <f>IF(I80=1,Pondération!B$3*(B80-D80),IF(I80=2,Pondération!B$4*(B80-D80),IF(I80=3,Pondération!B$5*(B80-D80),IF(I80=4,Pondération!B$6*(B80-D80),IF(I80=5,Pondération!B$7*(B80-D80),0)))))</f>
        <v>0</v>
      </c>
      <c r="K80" s="34">
        <f>IF(H80=5,Pondération!B$7*(A80-E80),0)</f>
        <v>0</v>
      </c>
      <c r="L80" s="34">
        <f>IF(I80=5,Pondération!B$7*(B80-D80),IF(I80=4,Pondération!B$6*(B80-D80),0))</f>
        <v>0</v>
      </c>
      <c r="M80" s="34">
        <f>IF(H80=1,Pondération!B$3*(A80-E80),IF(H80=2,Pondération!B$4*(A80-E80),IF(H80=3,Pondération!B$5*(A80-E80),IF(H80=4,Pondération!B$6*(A80-E80),IF(H80=5,Pondération!B$7*(A80-E80),0)))))</f>
        <v>0</v>
      </c>
      <c r="N80" s="34">
        <f t="shared" si="1"/>
        <v>0</v>
      </c>
      <c r="O80" s="34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34"/>
    </row>
    <row r="81" spans="1:42" ht="17.25" thickTop="1" thickBot="1" x14ac:dyDescent="0.25">
      <c r="A81" s="3"/>
      <c r="B81" s="3"/>
      <c r="C81" s="7" t="s">
        <v>90</v>
      </c>
      <c r="D81" s="5"/>
      <c r="E81" s="6"/>
      <c r="F81" s="34"/>
      <c r="G81" s="7" t="s">
        <v>90</v>
      </c>
      <c r="H81" s="14">
        <f>IF(OR(Compos!A2="Nocturne",Compos!A2="Noc"),1,IF(OR(Compos!A3="Nocturne",Compos!A3="Noc"),2,IF(OR(Compos!A4="Nocturne",Compos!A4="Noc"),3,IF(OR(Compos!A5="Nocturne",Compos!A5="Noc"),4,IF(OR(Compos!A6="Nocturne",Compos!A6="Noc"),5,0)))))</f>
        <v>0</v>
      </c>
      <c r="I81" s="14">
        <f>IF(OR(Compos!D2="Nocturne",Compos!D2="Noc"),1,IF(OR(Compos!D3="Nocturne",Compos!D3="Noc"),2,IF(OR(Compos!D4="Nocturne",Compos!D4="Noc"),3,IF(OR(Compos!D5="Nocturne",Compos!D5="Noc"),4,IF(OR(Compos!D6="Nocturne",Compos!D6="Noc"),5,0)))))</f>
        <v>0</v>
      </c>
      <c r="J81" s="34">
        <f>IF(I81=1,Pondération!B$3*(B81-D81),IF(I81=2,Pondération!B$4*(B81-D81),IF(I81=3,Pondération!B$5*(B81-D81),IF(I81=4,Pondération!B$6*(B81-D81),IF(I81=5,Pondération!B$7*(B81-D81),0)))))</f>
        <v>0</v>
      </c>
      <c r="K81" s="34">
        <f>IF(H81=5,Pondération!B$7*(A81-E81),0)</f>
        <v>0</v>
      </c>
      <c r="L81" s="34">
        <f>IF(I81=5,Pondération!B$7*(B81-D81),IF(I81=4,Pondération!B$6*(B81-D81),0))</f>
        <v>0</v>
      </c>
      <c r="M81" s="34">
        <f>IF(H81=1,Pondération!B$3*(A81-E81),IF(H81=2,Pondération!B$4*(A81-E81),IF(H81=3,Pondération!B$5*(A81-E81),IF(H81=4,Pondération!B$6*(A81-E81),IF(H81=5,Pondération!B$7*(A81-E81),0)))))</f>
        <v>0</v>
      </c>
      <c r="N81" s="34">
        <f t="shared" si="1"/>
        <v>0</v>
      </c>
      <c r="O81" s="34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34"/>
    </row>
    <row r="82" spans="1:42" ht="17.25" thickTop="1" thickBot="1" x14ac:dyDescent="0.3">
      <c r="A82" s="3"/>
      <c r="B82" s="3"/>
      <c r="C82" s="7" t="s">
        <v>672</v>
      </c>
      <c r="D82" s="5"/>
      <c r="E82" s="6"/>
      <c r="F82" s="34"/>
      <c r="G82" s="7" t="s">
        <v>672</v>
      </c>
      <c r="H82" s="14">
        <f>IF(OR(Compos!A2="Nunu et Willump",Compos!A2="N&amp;W",Compos!A2="N &amp; W",Compos!A2="Nunu", Compos!A2="Willump",Compos!A2="Nunu &amp; Willump",Compos!A2="Will"),1,IF(OR(Compos!A3="Nunu et Willump",Compos!A3="N&amp;W",Compos!A3="N &amp; W",Compos!A3="Nunu", Compos!A3="Willump",Compos!A3="Nunu &amp; Willump",Compos!A3="Will"),2,IF(OR(Compos!A4="Nunu et Willump",Compos!A4="N&amp;W",Compos!A4="N &amp; W",Compos!A4="Nunu", Compos!A4="Willump",Compos!A4="Nunu &amp; Willump",Compos!A4="Will"),3,IF(OR(Compos!A5="Nunu et Willump",Compos!A5="N&amp;W",Compos!A5="N &amp; W",Compos!A5="Nunu", Compos!A5="Willump",Compos!A5="Nunu &amp; Willump",Compos!A5="Will"),4,IF(OR(Compos!A6="Nunu et Willump",Compos!A6="N&amp;W",Compos!A6="N &amp; W",Compos!A6="Nunu", Compos!A6="Willump",Compos!A6="Nunu &amp; Willump",Compos!A6="Will"),5,0)))))</f>
        <v>0</v>
      </c>
      <c r="I82" s="19">
        <f>IF(OR(Compos!D2="Nunu et Willump",Compos!D2="N&amp;W",Compos!D2="N &amp; W",Compos!D2="Nunu", Compos!D2="Willump",Compos!D2="Nunu &amp; Willump",Compos!D2="Will"),1,IF(OR(Compos!D3="Nunu et Willump",Compos!D3="N&amp;W",Compos!D3="N &amp; W",Compos!D3="Nunu", Compos!D3="Willump",Compos!D3="Nunu &amp; Willump",Compos!D3="Will"),2,IF(OR(Compos!D4="Nunu et Willump",Compos!D4="N&amp;W",Compos!D4="N &amp; W",Compos!D4="Nunu", Compos!D4="Willump",Compos!D4="Nunu &amp; Willump",Compos!D4="Will"),3,IF(OR(Compos!D5="Nunu et Willump",Compos!D5="N&amp;W",Compos!D5="N &amp; W",Compos!D5="Nunu", Compos!D5="Willump",Compos!D5="Nunu &amp; Willump",Compos!D5="Will"),4,IF(OR(Compos!D6="Nunu et Willump",Compos!D6="N&amp;W",Compos!D6="N &amp; W",Compos!D6="Nunu", Compos!D6="Willump",Compos!D6="Nunu &amp; Willump",Compos!D6="Will"),5,0)))))</f>
        <v>0</v>
      </c>
      <c r="J82" s="34">
        <f>IF(I82=1,Pondération!B$3*(B82-D82),IF(I82=2,Pondération!B$4*(B82-D82),IF(I82=3,Pondération!B$5*(B82-D82),IF(I82=4,Pondération!B$6*(B82-D82),IF(I82=5,Pondération!B$7*(B82-D82),0)))))</f>
        <v>0</v>
      </c>
      <c r="K82" s="34">
        <f>IF(H82=5,Pondération!B$7*(A82-E82),0)</f>
        <v>0</v>
      </c>
      <c r="L82" s="34">
        <f>IF(I82=5,Pondération!B$7*(B82-D82),IF(I82=4,Pondération!B$6*(B82-D82),0))</f>
        <v>0</v>
      </c>
      <c r="M82" s="34">
        <f>IF(H82=1,Pondération!B$3*(A82-E82),IF(H82=2,Pondération!B$4*(A82-E82),IF(H82=3,Pondération!B$5*(A82-E82),IF(H82=4,Pondération!B$6*(A82-E82),IF(H82=5,Pondération!B$7*(A82-E82),0)))))</f>
        <v>0</v>
      </c>
      <c r="N82" s="34">
        <f t="shared" si="1"/>
        <v>0</v>
      </c>
      <c r="O82" s="34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34"/>
    </row>
    <row r="83" spans="1:42" ht="17.25" thickTop="1" thickBot="1" x14ac:dyDescent="0.25">
      <c r="A83" s="3"/>
      <c r="B83" s="3"/>
      <c r="C83" s="7" t="s">
        <v>92</v>
      </c>
      <c r="D83" s="5"/>
      <c r="E83" s="6"/>
      <c r="F83" s="34"/>
      <c r="G83" s="7" t="s">
        <v>92</v>
      </c>
      <c r="H83" s="14">
        <f>IF(Compos!A2="Olaf",1,IF(Compos!A3="Olaf",2,IF(Compos!A4="Olaf",3,IF(Compos!A5="Olaf",4,IF(Compos!A6="Olaf",5,0)))))</f>
        <v>0</v>
      </c>
      <c r="I83" s="14">
        <f>IF(Compos!D2="Olaf",1,IF(Compos!D3="Olaf",2,IF(Compos!D4="Olaf",3,IF(Compos!D5="Olaf",4,IF(Compos!D6="Olaf",5,0)))))</f>
        <v>0</v>
      </c>
      <c r="J83" s="34">
        <f>IF(I83=1,Pondération!B$3*(B83-D83),IF(I83=2,Pondération!B$4*(B83-D83),IF(I83=3,Pondération!B$5*(B83-D83),IF(I83=4,Pondération!B$6*(B83-D83),IF(I83=5,Pondération!B$7*(B83-D83),0)))))</f>
        <v>0</v>
      </c>
      <c r="K83" s="34">
        <f>IF(H83=5,Pondération!B$7*(A83-E83),0)</f>
        <v>0</v>
      </c>
      <c r="L83" s="34">
        <f>IF(I83=5,Pondération!B$7*(B83-D83),IF(I83=4,Pondération!B$6*(B83-D83),0))</f>
        <v>0</v>
      </c>
      <c r="M83" s="34">
        <f>IF(H83=1,Pondération!B$3*(A83-E83),IF(H83=2,Pondération!B$4*(A83-E83),IF(H83=3,Pondération!B$5*(A83-E83),IF(H83=4,Pondération!B$6*(A83-E83),IF(H83=5,Pondération!B$7*(A83-E83),0)))))</f>
        <v>0</v>
      </c>
      <c r="N83" s="34">
        <f t="shared" si="1"/>
        <v>0</v>
      </c>
      <c r="O83" s="34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34"/>
    </row>
    <row r="84" spans="1:42" ht="17.25" thickTop="1" thickBot="1" x14ac:dyDescent="0.25">
      <c r="A84" s="3"/>
      <c r="B84" s="3"/>
      <c r="C84" s="7" t="s">
        <v>93</v>
      </c>
      <c r="D84" s="5"/>
      <c r="E84" s="6"/>
      <c r="F84" s="34"/>
      <c r="G84" s="7" t="s">
        <v>93</v>
      </c>
      <c r="H84" s="14">
        <f>IF(OR(Compos!A2="Orianna",Compos!A2="Ori"),1,IF(OR(Compos!A3="Orianna",Compos!A3="Ori"),2,IF(OR(Compos!A4="Orianna",Compos!A4="Ori"),3,IF(OR(Compos!A5="Orianna",Compos!A5="Ori"),4,IF(OR(Compos!A6="Orianna",Compos!A6="Ori"),5,0)))))</f>
        <v>0</v>
      </c>
      <c r="I84" s="14">
        <f>IF(OR(Compos!D2="Orianna",Compos!D2="Ori"),1,IF(OR(Compos!D3="Orianna",Compos!D3="Ori"),2,IF(OR(Compos!D4="Orianna",Compos!D4="Ori"),3,IF(OR(Compos!D5="Orianna",Compos!D5="Ori"),4,IF(OR(Compos!D6="Orianna",Compos!D6="Ori"),5,0)))))</f>
        <v>0</v>
      </c>
      <c r="J84" s="34">
        <f>IF(I84=1,Pondération!B$3*(B84-D84),IF(I84=2,Pondération!B$4*(B84-D84),IF(I84=3,Pondération!B$5*(B84-D84),IF(I84=4,Pondération!B$6*(B84-D84),IF(I84=5,Pondération!B$7*(B84-D84),0)))))</f>
        <v>0</v>
      </c>
      <c r="K84" s="34">
        <f>IF(H84=5,Pondération!B$7*(A84-E84),0)</f>
        <v>0</v>
      </c>
      <c r="L84" s="34">
        <f>IF(I84=5,Pondération!B$7*(B84-D84),IF(I84=4,Pondération!B$6*(B84-D84),0))</f>
        <v>0</v>
      </c>
      <c r="M84" s="34">
        <f>IF(H84=1,Pondération!B$3*(A84-E84),IF(H84=2,Pondération!B$4*(A84-E84),IF(H84=3,Pondération!B$5*(A84-E84),IF(H84=4,Pondération!B$6*(A84-E84),IF(H84=5,Pondération!B$7*(A84-E84),0)))))</f>
        <v>0</v>
      </c>
      <c r="N84" s="34">
        <f t="shared" si="1"/>
        <v>0</v>
      </c>
      <c r="O84" s="34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34"/>
    </row>
    <row r="85" spans="1:42" ht="17.25" thickTop="1" thickBot="1" x14ac:dyDescent="0.25">
      <c r="A85" s="3"/>
      <c r="B85" s="3"/>
      <c r="C85" s="7" t="s">
        <v>94</v>
      </c>
      <c r="D85" s="5"/>
      <c r="E85" s="6"/>
      <c r="F85" s="34"/>
      <c r="G85" s="7" t="s">
        <v>94</v>
      </c>
      <c r="H85" s="14">
        <f>IF(Compos!A2="Ornn",1,IF(Compos!A3="Ornn",2,IF(Compos!A4="Ornn",3,IF(Compos!A5="Ornn",4,IF(Compos!A6="Ornn",5,0)))))</f>
        <v>0</v>
      </c>
      <c r="I85" s="14">
        <f>IF(Compos!D2="Ornn",1,IF(Compos!D3="Ornn",2,IF(Compos!D4="Ornn",3,IF(Compos!D5="Ornn",4,IF(Compos!D6="Ornn",5,0)))))</f>
        <v>0</v>
      </c>
      <c r="J85" s="34">
        <f>IF(I85=1,Pondération!B$3*(B85-D85),IF(I85=2,Pondération!B$4*(B85-D85),IF(I85=3,Pondération!B$5*(B85-D85),IF(I85=4,Pondération!B$6*(B85-D85),IF(I85=5,Pondération!B$7*(B85-D85),0)))))</f>
        <v>0</v>
      </c>
      <c r="K85" s="34">
        <f>IF(H85=5,Pondération!B$7*(A85-E85),0)</f>
        <v>0</v>
      </c>
      <c r="L85" s="34">
        <f>IF(I85=5,Pondération!B$7*(B85-D85),IF(I85=4,Pondération!B$6*(B85-D85),0))</f>
        <v>0</v>
      </c>
      <c r="M85" s="34">
        <f>IF(H85=1,Pondération!B$3*(A85-E85),IF(H85=2,Pondération!B$4*(A85-E85),IF(H85=3,Pondération!B$5*(A85-E85),IF(H85=4,Pondération!B$6*(A85-E85),IF(H85=5,Pondération!B$7*(A85-E85),0)))))</f>
        <v>0</v>
      </c>
      <c r="N85" s="34">
        <f t="shared" si="1"/>
        <v>0</v>
      </c>
      <c r="O85" s="34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34"/>
    </row>
    <row r="86" spans="1:42" ht="17.25" thickTop="1" thickBot="1" x14ac:dyDescent="0.25">
      <c r="A86" s="3"/>
      <c r="B86" s="3"/>
      <c r="C86" s="7" t="s">
        <v>95</v>
      </c>
      <c r="D86" s="5"/>
      <c r="E86" s="6"/>
      <c r="F86" s="34"/>
      <c r="G86" s="7" t="s">
        <v>95</v>
      </c>
      <c r="H86" s="14">
        <f>IF(OR(Compos!A2="Pantheon",Compos!A2="Panth"),1,IF(OR(Compos!A3="Pantheon",Compos!A3="Panth"),2,IF(OR(Compos!A4="Pantheon",Compos!A4="Panth"),3,IF(OR(Compos!A5="Pantheon",Compos!A5="Panth"),4,IF(OR(Compos!A6="Pantheon",Compos!A6="Panth"),5,0)))))</f>
        <v>0</v>
      </c>
      <c r="I86" s="14">
        <f>IF(OR(Compos!D2="Pantheon",Compos!D2="Panth"),1,IF(OR(Compos!D3="Pantheon",Compos!D3="Panth"),2,IF(OR(Compos!D4="Pantheon",Compos!D4="Panth"),3,IF(OR(Compos!D5="Pantheon",Compos!D5="Panth"),4,IF(OR(Compos!D6="Pantheon",Compos!D6="Panth"),5,0)))))</f>
        <v>0</v>
      </c>
      <c r="J86" s="34">
        <f>IF(I86=1,Pondération!B$3*(B86-D86),IF(I86=2,Pondération!B$4*(B86-D86),IF(I86=3,Pondération!B$5*(B86-D86),IF(I86=4,Pondération!B$6*(B86-D86),IF(I86=5,Pondération!B$7*(B86-D86),0)))))</f>
        <v>0</v>
      </c>
      <c r="K86" s="34">
        <f>IF(H86=5,Pondération!B$7*(A86-E86),0)</f>
        <v>0</v>
      </c>
      <c r="L86" s="34">
        <f>IF(I86=5,Pondération!B$7*(B86-D86),IF(I86=4,Pondération!B$6*(B86-D86),0))</f>
        <v>0</v>
      </c>
      <c r="M86" s="34">
        <f>IF(H86=1,Pondération!B$3*(A86-E86),IF(H86=2,Pondération!B$4*(A86-E86),IF(H86=3,Pondération!B$5*(A86-E86),IF(H86=4,Pondération!B$6*(A86-E86),IF(H86=5,Pondération!B$7*(A86-E86),0)))))</f>
        <v>0</v>
      </c>
      <c r="N86" s="34">
        <f t="shared" si="1"/>
        <v>0</v>
      </c>
      <c r="O86" s="34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34"/>
    </row>
    <row r="87" spans="1:42" ht="17.25" thickTop="1" thickBot="1" x14ac:dyDescent="0.25">
      <c r="A87" s="3"/>
      <c r="B87" s="3"/>
      <c r="C87" s="7" t="s">
        <v>96</v>
      </c>
      <c r="D87" s="5"/>
      <c r="E87" s="6"/>
      <c r="F87" s="34"/>
      <c r="G87" s="7" t="s">
        <v>96</v>
      </c>
      <c r="H87" s="14">
        <f>IF(Compos!A2="Poppy",1,IF(Compos!A3="Poppy",2,IF(Compos!A4="Poppy",3,IF(Compos!A5="Poppy",4,IF(Compos!A6="Poppy",5,0)))))</f>
        <v>0</v>
      </c>
      <c r="I87" s="14">
        <f>IF(Compos!D2="Poppy",1,IF(Compos!D3="Poppy",2,IF(Compos!D4="Poppy",3,IF(Compos!D5="Poppy",4,IF(Compos!D6="Poppy",5,0)))))</f>
        <v>0</v>
      </c>
      <c r="J87" s="34">
        <f>IF(I87=1,Pondération!B$3*(B87-D87),IF(I87=2,Pondération!B$4*(B87-D87),IF(I87=3,Pondération!B$5*(B87-D87),IF(I87=4,Pondération!B$6*(B87-D87),IF(I87=5,Pondération!B$7*(B87-D87),0)))))</f>
        <v>0</v>
      </c>
      <c r="K87" s="34">
        <f>IF(H87=5,Pondération!B$7*(A87-E87),0)</f>
        <v>0</v>
      </c>
      <c r="L87" s="34">
        <f>IF(I87=5,Pondération!B$7*(B87-D87),IF(I87=4,Pondération!B$6*(B87-D87),0))</f>
        <v>0</v>
      </c>
      <c r="M87" s="34">
        <f>IF(H87=1,Pondération!B$3*(A87-E87),IF(H87=2,Pondération!B$4*(A87-E87),IF(H87=3,Pondération!B$5*(A87-E87),IF(H87=4,Pondération!B$6*(A87-E87),IF(H87=5,Pondération!B$7*(A87-E87),0)))))</f>
        <v>0</v>
      </c>
      <c r="N87" s="34">
        <f t="shared" si="1"/>
        <v>0</v>
      </c>
      <c r="O87" s="34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34"/>
    </row>
    <row r="88" spans="1:42" ht="17.25" thickTop="1" thickBot="1" x14ac:dyDescent="0.25">
      <c r="A88" s="3"/>
      <c r="B88" s="3"/>
      <c r="C88" s="18" t="s">
        <v>158</v>
      </c>
      <c r="D88" s="5"/>
      <c r="E88" s="6"/>
      <c r="F88" s="34"/>
      <c r="G88" s="18" t="s">
        <v>158</v>
      </c>
      <c r="H88" s="14">
        <f>IF(Compos!A2="Pyke",1,IF(Compos!A3="Pyke",2,IF(Compos!A4="Pyke",3,IF(Compos!A5="Pyke",4,IF(Compos!A6="Pyke",5,0)))))</f>
        <v>0</v>
      </c>
      <c r="I88" s="14">
        <f>IF(Compos!D2="Pyke",1,IF(Compos!D3="Pyke",2,IF(Compos!D4="Pyke",3,IF(Compos!D5="Pyke",4,IF(Compos!D6="Pyke",5,0)))))</f>
        <v>0</v>
      </c>
      <c r="J88" s="34">
        <f>IF(I88=1,Pondération!B$3*(B88-D88),IF(I88=2,Pondération!B$4*(B88-D88),IF(I88=3,Pondération!B$5*(B88-D88),IF(I88=4,Pondération!B$6*(B88-D88),IF(I88=5,Pondération!B$7*(B88-D88),0)))))</f>
        <v>0</v>
      </c>
      <c r="K88" s="34">
        <f>IF(H88=5,Pondération!B$7*(A88-E88),0)</f>
        <v>0</v>
      </c>
      <c r="L88" s="34">
        <f>IF(I88=5,Pondération!B$7*(B88-D88),IF(I88=4,Pondération!B$6*(B88-D88),0))</f>
        <v>0</v>
      </c>
      <c r="M88" s="34">
        <f>IF(H88=1,Pondération!B$3*(A88-E88),IF(H88=2,Pondération!B$4*(A88-E88),IF(H88=3,Pondération!B$5*(A88-E88),IF(H88=4,Pondération!B$6*(A88-E88),IF(H88=5,Pondération!B$7*(A88-E88),0)))))</f>
        <v>0</v>
      </c>
      <c r="N88" s="34">
        <f t="shared" si="1"/>
        <v>0</v>
      </c>
      <c r="O88" s="34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34"/>
    </row>
    <row r="89" spans="1:42" ht="17.25" thickTop="1" thickBot="1" x14ac:dyDescent="0.25">
      <c r="A89" s="3"/>
      <c r="B89" s="3"/>
      <c r="C89" s="7" t="s">
        <v>97</v>
      </c>
      <c r="D89" s="5"/>
      <c r="E89" s="6"/>
      <c r="F89" s="34"/>
      <c r="G89" s="7" t="s">
        <v>97</v>
      </c>
      <c r="H89" s="14">
        <f>IF(Compos!A2="Quinn",1,IF(Compos!A3="Quinn",2,IF(Compos!A4="Quinn",3,IF(Compos!A5="Quinn",4,IF(Compos!A6="Quinn",5,0)))))</f>
        <v>0</v>
      </c>
      <c r="I89" s="14">
        <f>IF(Compos!D2="Quinn",1,IF(Compos!D3="Quinn",2,IF(Compos!D4="Quinn",3,IF(Compos!D5="Quinn",4,IF(Compos!D6="Quinn",5,0)))))</f>
        <v>0</v>
      </c>
      <c r="J89" s="34">
        <f>IF(I89=1,Pondération!B$3*(B89-D89),IF(I89=2,Pondération!B$4*(B89-D89),IF(I89=3,Pondération!B$5*(B89-D89),IF(I89=4,Pondération!B$6*(B89-D89),IF(I89=5,Pondération!B$7*(B89-D89),0)))))</f>
        <v>0</v>
      </c>
      <c r="K89" s="34">
        <f>IF(H89=5,Pondération!B$7*(A89-E89),0)</f>
        <v>0</v>
      </c>
      <c r="L89" s="34">
        <f>IF(I89=5,Pondération!B$7*(B89-D89),IF(I89=4,Pondération!B$6*(B89-D89),0))</f>
        <v>0</v>
      </c>
      <c r="M89" s="34">
        <f>IF(H89=1,Pondération!B$3*(A89-E89),IF(H89=2,Pondération!B$4*(A89-E89),IF(H89=3,Pondération!B$5*(A89-E89),IF(H89=4,Pondération!B$6*(A89-E89),IF(H89=5,Pondération!B$7*(A89-E89),0)))))</f>
        <v>0</v>
      </c>
      <c r="N89" s="34">
        <f t="shared" si="1"/>
        <v>0</v>
      </c>
      <c r="O89" s="34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34"/>
    </row>
    <row r="90" spans="1:42" ht="17.25" thickTop="1" thickBot="1" x14ac:dyDescent="0.25">
      <c r="A90" s="3"/>
      <c r="B90" s="3"/>
      <c r="C90" s="7" t="s">
        <v>98</v>
      </c>
      <c r="D90" s="5"/>
      <c r="E90" s="6"/>
      <c r="F90" s="34"/>
      <c r="G90" s="7" t="s">
        <v>98</v>
      </c>
      <c r="H90" s="14">
        <f>IF(Compos!A2="Rakan",1,IF(Compos!A3="Rakan",2,IF(Compos!A4="Rakan",3,IF(Compos!A5="Rakan",4,IF(Compos!A6="Rakan",5,0)))))</f>
        <v>0</v>
      </c>
      <c r="I90" s="14">
        <f>IF(Compos!D2="Rakan",1,IF(Compos!D3="Rakan",2,IF(Compos!D4="Rakan",3,IF(Compos!D5="Rakan",4,IF(Compos!D6="Rakan",5,0)))))</f>
        <v>0</v>
      </c>
      <c r="J90" s="34">
        <f>IF(I90=1,Pondération!B$3*(B90-D90),IF(I90=2,Pondération!B$4*(B90-D90),IF(I90=3,Pondération!B$5*(B90-D90),IF(I90=4,Pondération!B$6*(B90-D90),IF(I90=5,Pondération!B$7*(B90-D90),0)))))</f>
        <v>0</v>
      </c>
      <c r="K90" s="34">
        <f>IF(H90=5,Pondération!B$7*(A90-E90),0)</f>
        <v>0</v>
      </c>
      <c r="L90" s="34">
        <f>IF(I90=5,Pondération!B$7*(B90-D90),IF(I90=4,Pondération!B$6*(B90-D90),0))</f>
        <v>0</v>
      </c>
      <c r="M90" s="34">
        <f>IF(H90=1,Pondération!B$3*(A90-E90),IF(H90=2,Pondération!B$4*(A90-E90),IF(H90=3,Pondération!B$5*(A90-E90),IF(H90=4,Pondération!B$6*(A90-E90),IF(H90=5,Pondération!B$7*(A90-E90),0)))))</f>
        <v>0</v>
      </c>
      <c r="N90" s="34">
        <f t="shared" si="1"/>
        <v>0</v>
      </c>
      <c r="O90" s="34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34"/>
    </row>
    <row r="91" spans="1:42" ht="17.25" thickTop="1" thickBot="1" x14ac:dyDescent="0.25">
      <c r="A91" s="3"/>
      <c r="B91" s="3"/>
      <c r="C91" s="7" t="s">
        <v>99</v>
      </c>
      <c r="D91" s="5"/>
      <c r="E91" s="6"/>
      <c r="F91" s="34"/>
      <c r="G91" s="7" t="s">
        <v>99</v>
      </c>
      <c r="H91" s="14">
        <f>IF(Compos!A2="Rammus",1,IF(Compos!A3="Rammus",2,IF(Compos!A4="Rammus",3,IF(Compos!A5="Rammus",4,IF(Compos!A6="Rammus",5,0)))))</f>
        <v>0</v>
      </c>
      <c r="I91" s="14">
        <f>IF(Compos!D2="Rammus",1,IF(Compos!D3="Rammus",2,IF(Compos!D4="Rammus",3,IF(Compos!D5="Rammus",4,IF(Compos!D6="Rammus",5,0)))))</f>
        <v>0</v>
      </c>
      <c r="J91" s="34">
        <f>IF(I91=1,Pondération!B$3*(B91-D91),IF(I91=2,Pondération!B$4*(B91-D91),IF(I91=3,Pondération!B$5*(B91-D91),IF(I91=4,Pondération!B$6*(B91-D91),IF(I91=5,Pondération!B$7*(B91-D91),0)))))</f>
        <v>0</v>
      </c>
      <c r="K91" s="34">
        <f>IF(H91=5,Pondération!B$7*(A91-E91),0)</f>
        <v>0</v>
      </c>
      <c r="L91" s="34">
        <f>IF(I91=5,Pondération!B$7*(B91-D91),IF(I91=4,Pondération!B$6*(B91-D91),0))</f>
        <v>0</v>
      </c>
      <c r="M91" s="34">
        <f>IF(H91=1,Pondération!B$3*(A91-E91),IF(H91=2,Pondération!B$4*(A91-E91),IF(H91=3,Pondération!B$5*(A91-E91),IF(H91=4,Pondération!B$6*(A91-E91),IF(H91=5,Pondération!B$7*(A91-E91),0)))))</f>
        <v>0</v>
      </c>
      <c r="N91" s="34">
        <f t="shared" si="1"/>
        <v>0</v>
      </c>
      <c r="O91" s="34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34"/>
    </row>
    <row r="92" spans="1:42" ht="17.25" thickTop="1" thickBot="1" x14ac:dyDescent="0.25">
      <c r="A92" s="3"/>
      <c r="B92" s="3"/>
      <c r="C92" s="7" t="s">
        <v>100</v>
      </c>
      <c r="D92" s="5"/>
      <c r="E92" s="6"/>
      <c r="F92" s="34"/>
      <c r="G92" s="7" t="s">
        <v>100</v>
      </c>
      <c r="H92" s="14">
        <f>IF(OR(Compos!A2="Rek'Sai",Compos!A2="Rek",Compos!A2="Sai",Compos!A2="RS", Compos!A2="RekSai",Compos!A2="Rek Sai"),1,IF(OR(Compos!A3="Rek'Sai",Compos!A3="Rek",Compos!A3="Sai",Compos!A3="RS", Compos!A3="RekSai",Compos!A3="Rek Sai"),2,IF(OR(Compos!A4="Rek'Sai",Compos!A4="Rek",Compos!A4="Sai",Compos!A4="RS", Compos!A4="RekSai",Compos!A4="Rek Sai"),3,IF(OR(Compos!A5="Rek'Sai",Compos!A5="Rek",Compos!A5="Sai",Compos!A5="RS", Compos!A5="RekSai",Compos!A5="Rek Sai"),4,IF(OR(Compos!A6="Rek'Sai",Compos!A6="Rek",Compos!A6="Sai",Compos!A6="RS", Compos!A6="RekSai",Compos!A6="Rek Sai"),5,0)))))</f>
        <v>0</v>
      </c>
      <c r="I92" s="14">
        <f>IF(OR(Compos!D2="Rek'Sai",Compos!D2="Rek",Compos!D2="Sai",Compos!D2="RS", Compos!D2="RekSai", Compos!D2="Rek Sai"),1,IF(OR(Compos!D3="Rek'Sai",Compos!D3="Rek",Compos!D3="Sai",Compos!D3="RS", Compos!D3="RekSai", Compos!D3="Rek Sai"),2,IF(OR(Compos!D4="Rek'Sai",Compos!D4="Rek",Compos!D4="Sai",Compos!D4="RS", Compos!D4="RekSai",Compos!D4="Rek Sai"),3,IF(OR(Compos!D5="Rek'Sai",Compos!D5="Rek",Compos!D5="Sai",Compos!D5="RS", Compos!D5="RekSai",Compos!D5="Rek Sai"),4,IF(OR(Compos!D6="Rek'Sai",Compos!D6="Rek",Compos!D6="Sai",Compos!D6="RS", Compos!D6="RekSai",Compos!D6="Rek Sai"),5,0)))))</f>
        <v>0</v>
      </c>
      <c r="J92" s="34">
        <f>IF(I92=1,Pondération!B$3*(B92-D92),IF(I92=2,Pondération!B$4*(B92-D92),IF(I92=3,Pondération!B$5*(B92-D92),IF(I92=4,Pondération!B$6*(B92-D92),IF(I92=5,Pondération!B$7*(B92-D92),0)))))</f>
        <v>0</v>
      </c>
      <c r="K92" s="34">
        <f>IF(H92=5,Pondération!B$7*(A92-E92),0)</f>
        <v>0</v>
      </c>
      <c r="L92" s="34">
        <f>IF(I92=5,Pondération!B$7*(B92-D92),IF(I92=4,Pondération!B$6*(B92-D92),0))</f>
        <v>0</v>
      </c>
      <c r="M92" s="34">
        <f>IF(H92=1,Pondération!B$3*(A92-E92),IF(H92=2,Pondération!B$4*(A92-E92),IF(H92=3,Pondération!B$5*(A92-E92),IF(H92=4,Pondération!B$6*(A92-E92),IF(H92=5,Pondération!B$7*(A92-E92),0)))))</f>
        <v>0</v>
      </c>
      <c r="N92" s="34">
        <f t="shared" si="1"/>
        <v>0</v>
      </c>
      <c r="O92" s="34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34"/>
    </row>
    <row r="93" spans="1:42" ht="17.25" thickTop="1" thickBot="1" x14ac:dyDescent="0.25">
      <c r="A93" s="3"/>
      <c r="B93" s="3"/>
      <c r="C93" s="7" t="s">
        <v>101</v>
      </c>
      <c r="D93" s="5"/>
      <c r="E93" s="6"/>
      <c r="F93" s="34"/>
      <c r="G93" s="7" t="s">
        <v>101</v>
      </c>
      <c r="H93" s="14">
        <f>IF(OR(Compos!A2="Renekton",Compos!A2="Renek"),1,IF(OR(Compos!A3="Renekton",Compos!A3="Renek"),2,IF(OR(Compos!A4="Renekton",Compos!A4="Renek"),3,IF(OR(Compos!A5="Renekton",Compos!A5="Renek"),4,IF(OR(Compos!A6="Renekton",Compos!A6="Renek"),5,0)))))</f>
        <v>0</v>
      </c>
      <c r="I93" s="14">
        <f>IF(OR(Compos!D2="Renekton",Compos!D2="Renek"),1,IF(OR(Compos!D3="Renekton",Compos!D3="Renek"),2,IF(OR(Compos!D4="Renekton",Compos!D4="Renek"),3,IF(OR(Compos!D5="Renekton",Compos!D5="Renek"),4,IF(OR(Compos!D6="Renekton",Compos!D6="Renek"),5,0)))))</f>
        <v>0</v>
      </c>
      <c r="J93" s="34">
        <f>IF(I93=1,Pondération!B$3*(B93-D93),IF(I93=2,Pondération!B$4*(B93-D93),IF(I93=3,Pondération!B$5*(B93-D93),IF(I93=4,Pondération!B$6*(B93-D93),IF(I93=5,Pondération!B$7*(B93-D93),0)))))</f>
        <v>0</v>
      </c>
      <c r="K93" s="34">
        <f>IF(H93=5,Pondération!B$7*(A93-E93),0)</f>
        <v>0</v>
      </c>
      <c r="L93" s="34">
        <f>IF(I93=5,Pondération!B$7*(B93-D93),IF(I93=4,Pondération!B$6*(B93-D93),0))</f>
        <v>0</v>
      </c>
      <c r="M93" s="34">
        <f>IF(H93=1,Pondération!B$3*(A93-E93),IF(H93=2,Pondération!B$4*(A93-E93),IF(H93=3,Pondération!B$5*(A93-E93),IF(H93=4,Pondération!B$6*(A93-E93),IF(H93=5,Pondération!B$7*(A93-E93),0)))))</f>
        <v>0</v>
      </c>
      <c r="N93" s="34">
        <f t="shared" si="1"/>
        <v>0</v>
      </c>
      <c r="O93" s="34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34"/>
    </row>
    <row r="94" spans="1:42" ht="17.25" thickTop="1" thickBot="1" x14ac:dyDescent="0.25">
      <c r="A94" s="3"/>
      <c r="B94" s="3"/>
      <c r="C94" s="7" t="s">
        <v>102</v>
      </c>
      <c r="D94" s="5"/>
      <c r="E94" s="6"/>
      <c r="F94" s="34"/>
      <c r="G94" s="7" t="s">
        <v>102</v>
      </c>
      <c r="H94" s="14">
        <f>IF(OR(Compos!A2="Rengar",Compos!A2="Rengo"),1,IF(OR(Compos!A3="Rengar",Compos!A3="Rengo"),2,IF(OR(Compos!A4="Rengar",Compos!A4="Rengo"),3,IF(OR(Compos!A5="Rengar",Compos!A5="Rengo"),4,IF(OR(Compos!A6="Rengar",Compos!A6="Rengo"),5,0)))))</f>
        <v>0</v>
      </c>
      <c r="I94" s="14">
        <f>IF(OR(Compos!D2="Rengar",Compos!D2="Rengo"),1,IF(OR(Compos!D3="Rengar",Compos!D3="Rengo"),2,IF(OR(Compos!D4="Rengar",Compos!D4="Rengo"),3,IF(OR(Compos!D5="Rengar",Compos!D5="Rengo"),4,IF(OR(Compos!D6="Rengar",Compos!D6="Rengo"),5,0)))))</f>
        <v>0</v>
      </c>
      <c r="J94" s="34">
        <f>IF(I94=1,Pondération!B$3*(B94-D94),IF(I94=2,Pondération!B$4*(B94-D94),IF(I94=3,Pondération!B$5*(B94-D94),IF(I94=4,Pondération!B$6*(B94-D94),IF(I94=5,Pondération!B$7*(B94-D94),0)))))</f>
        <v>0</v>
      </c>
      <c r="K94" s="34">
        <f>IF(H94=5,Pondération!B$7*(A94-E94),0)</f>
        <v>0</v>
      </c>
      <c r="L94" s="34">
        <f>IF(I94=5,Pondération!B$7*(B94-D94),IF(I94=4,Pondération!B$6*(B94-D94),0))</f>
        <v>0</v>
      </c>
      <c r="M94" s="34">
        <f>IF(H94=1,Pondération!B$3*(A94-E94),IF(H94=2,Pondération!B$4*(A94-E94),IF(H94=3,Pondération!B$5*(A94-E94),IF(H94=4,Pondération!B$6*(A94-E94),IF(H94=5,Pondération!B$7*(A94-E94),0)))))</f>
        <v>0</v>
      </c>
      <c r="N94" s="34">
        <f t="shared" si="1"/>
        <v>0</v>
      </c>
      <c r="O94" s="34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34"/>
    </row>
    <row r="95" spans="1:42" ht="17.25" thickTop="1" thickBot="1" x14ac:dyDescent="0.25">
      <c r="A95" s="3"/>
      <c r="B95" s="3"/>
      <c r="C95" s="7" t="s">
        <v>103</v>
      </c>
      <c r="D95" s="5"/>
      <c r="E95" s="6"/>
      <c r="F95" s="34"/>
      <c r="G95" s="7" t="s">
        <v>103</v>
      </c>
      <c r="H95" s="14">
        <f>IF(Compos!A2="Riven",1,IF(Compos!A3="Riven",2,IF(Compos!A4="Riven",3,IF(Compos!A5="Riven",4,IF(Compos!A6="Riven",5,0)))))</f>
        <v>0</v>
      </c>
      <c r="I95" s="14">
        <f>IF(Compos!D2="Riven",1,IF(Compos!D3="Riven",2,IF(Compos!D4="Riven",3,IF(Compos!D5="Riven",4,IF(Compos!D6="Riven",5,0)))))</f>
        <v>0</v>
      </c>
      <c r="J95" s="34">
        <f>IF(I95=1,Pondération!B$3*(B95-D95),IF(I95=2,Pondération!B$4*(B95-D95),IF(I95=3,Pondération!B$5*(B95-D95),IF(I95=4,Pondération!B$6*(B95-D95),IF(I95=5,Pondération!B$7*(B95-D95),0)))))</f>
        <v>0</v>
      </c>
      <c r="K95" s="34">
        <f>IF(H95=5,Pondération!B$7*(A95-E95),0)</f>
        <v>0</v>
      </c>
      <c r="L95" s="34">
        <f>IF(I95=5,Pondération!B$7*(B95-D95),IF(I95=4,Pondération!B$6*(B95-D95),0))</f>
        <v>0</v>
      </c>
      <c r="M95" s="34">
        <f>IF(H95=1,Pondération!B$3*(A95-E95),IF(H95=2,Pondération!B$4*(A95-E95),IF(H95=3,Pondération!B$5*(A95-E95),IF(H95=4,Pondération!B$6*(A95-E95),IF(H95=5,Pondération!B$7*(A95-E95),0)))))</f>
        <v>0</v>
      </c>
      <c r="N95" s="34">
        <f t="shared" si="1"/>
        <v>0</v>
      </c>
      <c r="O95" s="34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34"/>
    </row>
    <row r="96" spans="1:42" ht="17.25" thickTop="1" thickBot="1" x14ac:dyDescent="0.25">
      <c r="A96" s="3"/>
      <c r="B96" s="3"/>
      <c r="C96" s="7" t="s">
        <v>104</v>
      </c>
      <c r="D96" s="5"/>
      <c r="E96" s="6"/>
      <c r="F96" s="34"/>
      <c r="G96" s="7" t="s">
        <v>104</v>
      </c>
      <c r="H96" s="14">
        <f>IF(Compos!A2="Rumble",1,IF(Compos!A3="Rumble",2,IF(Compos!A4="Rumble",3,IF(Compos!A5="Rumble",4,IF(Compos!A6="Rumble",5,0)))))</f>
        <v>0</v>
      </c>
      <c r="I96" s="14">
        <f>IF(Compos!D2="Rumble",1,IF(Compos!D3="Rumble",2,IF(Compos!D4="Rumble",3,IF(Compos!D5="Rumble",4,IF(Compos!D6="Rumble",5,0)))))</f>
        <v>0</v>
      </c>
      <c r="J96" s="34">
        <f>IF(I96=1,Pondération!B$3*(B96-D96),IF(I96=2,Pondération!B$4*(B96-D96),IF(I96=3,Pondération!B$5*(B96-D96),IF(I96=4,Pondération!B$6*(B96-D96),IF(I96=5,Pondération!B$7*(B96-D96),0)))))</f>
        <v>0</v>
      </c>
      <c r="K96" s="34">
        <f>IF(H96=5,Pondération!B$7*(A96-E96),0)</f>
        <v>0</v>
      </c>
      <c r="L96" s="34">
        <f>IF(I96=5,Pondération!B$7*(B96-D96),IF(I96=4,Pondération!B$6*(B96-D96),0))</f>
        <v>0</v>
      </c>
      <c r="M96" s="34">
        <f>IF(H96=1,Pondération!B$3*(A96-E96),IF(H96=2,Pondération!B$4*(A96-E96),IF(H96=3,Pondération!B$5*(A96-E96),IF(H96=4,Pondération!B$6*(A96-E96),IF(H96=5,Pondération!B$7*(A96-E96),0)))))</f>
        <v>0</v>
      </c>
      <c r="N96" s="34">
        <f t="shared" si="1"/>
        <v>0</v>
      </c>
      <c r="O96" s="34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34"/>
    </row>
    <row r="97" spans="1:42" ht="17.25" thickTop="1" thickBot="1" x14ac:dyDescent="0.25">
      <c r="A97" s="3"/>
      <c r="B97" s="3"/>
      <c r="C97" s="7" t="s">
        <v>105</v>
      </c>
      <c r="D97" s="5"/>
      <c r="E97" s="6"/>
      <c r="F97" s="34"/>
      <c r="G97" s="7" t="s">
        <v>105</v>
      </c>
      <c r="H97" s="14">
        <f>IF(Compos!A2="Ryze",1,IF(Compos!A3="Ryze",2,IF(Compos!A4="Ryze",3,IF(Compos!A5="Ryze",4,IF(Compos!A6="Ryze",5,0)))))</f>
        <v>0</v>
      </c>
      <c r="I97" s="14">
        <f>IF(Compos!D2="Ryze",1,IF(Compos!D3="Ryze",2,IF(Compos!D4="Ryze",3,IF(Compos!D5="Ryze",4,IF(Compos!D6="Ryze",5,0)))))</f>
        <v>0</v>
      </c>
      <c r="J97" s="34">
        <f>IF(I97=1,Pondération!B$3*(B97-D97),IF(I97=2,Pondération!B$4*(B97-D97),IF(I97=3,Pondération!B$5*(B97-D97),IF(I97=4,Pondération!B$6*(B97-D97),IF(I97=5,Pondération!B$7*(B97-D97),0)))))</f>
        <v>0</v>
      </c>
      <c r="K97" s="34">
        <f>IF(H97=5,Pondération!B$7*(A97-E97),0)</f>
        <v>0</v>
      </c>
      <c r="L97" s="34">
        <f>IF(I97=5,Pondération!B$7*(B97-D97),IF(I97=4,Pondération!B$6*(B97-D97),0))</f>
        <v>0</v>
      </c>
      <c r="M97" s="34">
        <f>IF(H97=1,Pondération!B$3*(A97-E97),IF(H97=2,Pondération!B$4*(A97-E97),IF(H97=3,Pondération!B$5*(A97-E97),IF(H97=4,Pondération!B$6*(A97-E97),IF(H97=5,Pondération!B$7*(A97-E97),0)))))</f>
        <v>0</v>
      </c>
      <c r="N97" s="34">
        <f t="shared" si="1"/>
        <v>0</v>
      </c>
      <c r="O97" s="34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34"/>
    </row>
    <row r="98" spans="1:42" ht="17.25" thickTop="1" thickBot="1" x14ac:dyDescent="0.25">
      <c r="A98" s="3"/>
      <c r="B98" s="3"/>
      <c r="C98" s="7" t="s">
        <v>106</v>
      </c>
      <c r="D98" s="5"/>
      <c r="E98" s="6"/>
      <c r="F98" s="34"/>
      <c r="G98" s="7" t="s">
        <v>106</v>
      </c>
      <c r="H98" s="14">
        <f>IF(OR(Compos!A2="Sejuani",Compos!A2="Sej",Compos!A2="Seju"),1,IF(OR(Compos!A3="Sejuani",Compos!A3="Sej",Compos!A3="Seju"),2,IF(OR(Compos!A4="Sejuani",Compos!A4="Sej",Compos!A4="Seju"),3,IF(OR(Compos!A5="Sejuani",Compos!A5="Sej",Compos!A5="Seju"),4,IF(OR(Compos!A6="Sejuani",Compos!A6="Sej",Compos!A6="Seju"),5,0)))))</f>
        <v>0</v>
      </c>
      <c r="I98" s="14">
        <f>IF(OR(Compos!D2="Sejuani",Compos!D2="Sej",Compos!D2="Seju"),1,IF(OR(Compos!D3="Sejuani",Compos!D3="Sej",Compos!D3="Seju"),2,IF(OR(Compos!D4="Sejuani",Compos!D4="Sej",Compos!D4="Seju"),3,IF(OR(Compos!D5="Sejuani",Compos!D5="Sej",Compos!D5="Seju"),4,IF(OR(Compos!D6="Sejuani",Compos!D6="Sej",Compos!D6="Seju"),5,0)))))</f>
        <v>0</v>
      </c>
      <c r="J98" s="34">
        <f>IF(I98=1,Pondération!B$3*(B98-D98),IF(I98=2,Pondération!B$4*(B98-D98),IF(I98=3,Pondération!B$5*(B98-D98),IF(I98=4,Pondération!B$6*(B98-D98),IF(I98=5,Pondération!B$7*(B98-D98),0)))))</f>
        <v>0</v>
      </c>
      <c r="K98" s="34">
        <f>IF(H98=5,Pondération!B$7*(A98-E98),0)</f>
        <v>0</v>
      </c>
      <c r="L98" s="34">
        <f>IF(I98=5,Pondération!B$7*(B98-D98),IF(I98=4,Pondération!B$6*(B98-D98),0))</f>
        <v>0</v>
      </c>
      <c r="M98" s="34">
        <f>IF(H98=1,Pondération!B$3*(A98-E98),IF(H98=2,Pondération!B$4*(A98-E98),IF(H98=3,Pondération!B$5*(A98-E98),IF(H98=4,Pondération!B$6*(A98-E98),IF(H98=5,Pondération!B$7*(A98-E98),0)))))</f>
        <v>0</v>
      </c>
      <c r="N98" s="34">
        <f t="shared" si="1"/>
        <v>0</v>
      </c>
      <c r="O98" s="34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34"/>
    </row>
    <row r="99" spans="1:42" ht="17.25" thickTop="1" thickBot="1" x14ac:dyDescent="0.25">
      <c r="A99" s="3"/>
      <c r="B99" s="3"/>
      <c r="C99" s="7" t="s">
        <v>107</v>
      </c>
      <c r="D99" s="5"/>
      <c r="E99" s="6"/>
      <c r="F99" s="34"/>
      <c r="G99" s="7" t="s">
        <v>107</v>
      </c>
      <c r="H99" s="14">
        <f>IF(Compos!A2="Shaco",1,IF(Compos!A3="Shaco",2,IF(Compos!A4="Shaco",3,IF(Compos!A5="Shaco",4,IF(Compos!A6="Shaco",5,0)))))</f>
        <v>0</v>
      </c>
      <c r="I99" s="14">
        <f>IF(Compos!D2="Shaco",1,IF(Compos!D3="Shaco",2,IF(Compos!D4="Shaco",3,IF(Compos!D5="Shaco",4,IF(Compos!D6="Shaco",5,0)))))</f>
        <v>0</v>
      </c>
      <c r="J99" s="34">
        <f>IF(I99=1,Pondération!B$3*(B99-D99),IF(I99=2,Pondération!B$4*(B99-D99),IF(I99=3,Pondération!B$5*(B99-D99),IF(I99=4,Pondération!B$6*(B99-D99),IF(I99=5,Pondération!B$7*(B99-D99),0)))))</f>
        <v>0</v>
      </c>
      <c r="K99" s="34">
        <f>IF(H99=5,Pondération!B$7*(A99-E99),0)</f>
        <v>0</v>
      </c>
      <c r="L99" s="34">
        <f>IF(I99=5,Pondération!B$7*(B99-D99),IF(I99=4,Pondération!B$6*(B99-D99),0))</f>
        <v>0</v>
      </c>
      <c r="M99" s="34">
        <f>IF(H99=1,Pondération!B$3*(A99-E99),IF(H99=2,Pondération!B$4*(A99-E99),IF(H99=3,Pondération!B$5*(A99-E99),IF(H99=4,Pondération!B$6*(A99-E99),IF(H99=5,Pondération!B$7*(A99-E99),0)))))</f>
        <v>0</v>
      </c>
      <c r="N99" s="34">
        <f t="shared" si="1"/>
        <v>0</v>
      </c>
      <c r="O99" s="34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34"/>
    </row>
    <row r="100" spans="1:42" ht="17.25" thickTop="1" thickBot="1" x14ac:dyDescent="0.25">
      <c r="A100" s="3"/>
      <c r="B100" s="3"/>
      <c r="C100" s="7" t="s">
        <v>108</v>
      </c>
      <c r="D100" s="5"/>
      <c r="E100" s="6"/>
      <c r="F100" s="34"/>
      <c r="G100" s="7" t="s">
        <v>108</v>
      </c>
      <c r="H100" s="14">
        <f>IF(Compos!A2="Shen",1,IF(Compos!A3="Shen",2,IF(Compos!A4="Shen",3,IF(Compos!A5="Shen",4,IF(Compos!A6="Shen",5,0)))))</f>
        <v>0</v>
      </c>
      <c r="I100" s="14">
        <f>IF(Compos!D2="Shen",1,IF(Compos!D3="Shen",2,IF(Compos!D4="Shen",3,IF(Compos!D5="Shen",4,IF(Compos!D6="Shen",5,0)))))</f>
        <v>0</v>
      </c>
      <c r="J100" s="34">
        <f>IF(I100=1,Pondération!B$3*(B100-D100),IF(I100=2,Pondération!B$4*(B100-D100),IF(I100=3,Pondération!B$5*(B100-D100),IF(I100=4,Pondération!B$6*(B100-D100),IF(I100=5,Pondération!B$7*(B100-D100),0)))))</f>
        <v>0</v>
      </c>
      <c r="K100" s="34">
        <f>IF(H100=5,Pondération!B$7*(A100-E100),0)</f>
        <v>0</v>
      </c>
      <c r="L100" s="34">
        <f>IF(I100=5,Pondération!B$7*(B100-D100),IF(I100=4,Pondération!B$6*(B100-D100),0))</f>
        <v>0</v>
      </c>
      <c r="M100" s="34">
        <f>IF(H100=1,Pondération!B$3*(A100-E100),IF(H100=2,Pondération!B$4*(A100-E100),IF(H100=3,Pondération!B$5*(A100-E100),IF(H100=4,Pondération!B$6*(A100-E100),IF(H100=5,Pondération!B$7*(A100-E100),0)))))</f>
        <v>0</v>
      </c>
      <c r="N100" s="34">
        <f t="shared" si="1"/>
        <v>0</v>
      </c>
      <c r="O100" s="34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34"/>
    </row>
    <row r="101" spans="1:42" ht="17.25" thickTop="1" thickBot="1" x14ac:dyDescent="0.25">
      <c r="A101" s="3"/>
      <c r="B101" s="3"/>
      <c r="C101" s="7" t="s">
        <v>109</v>
      </c>
      <c r="D101" s="5"/>
      <c r="E101" s="6"/>
      <c r="F101" s="34"/>
      <c r="G101" s="7" t="s">
        <v>109</v>
      </c>
      <c r="H101" s="14">
        <f>IF(OR(Compos!A2="Shyvana",Compos!A2="Shyv"),1,IF(OR(Compos!A3="Shyvana",Compos!A3="Shyv"),2,IF(OR(Compos!A4="Shyvana",Compos!A4="Shyv"),3,IF(OR(Compos!A5="Shyvana",Compos!A5="Shyv"),4,IF(OR(Compos!A6="Shyvana",Compos!A6="Shyv"),5,0)))))</f>
        <v>0</v>
      </c>
      <c r="I101" s="14">
        <f>IF(OR(Compos!D2="Shyvana",Compos!D2="Shyv"),1,IF(OR(Compos!D3="Shyvana",Compos!D3="Shyv"),2,IF(OR(Compos!D4="Shyvana",Compos!D4="Shyv"),3,IF(OR(Compos!D5="Shyvana",Compos!D5="Shyv"),4,IF(OR(Compos!D6="Shyvana",Compos!D6="Shyv"),5,0)))))</f>
        <v>0</v>
      </c>
      <c r="J101" s="34">
        <f>IF(I101=1,Pondération!B$3*(B101-D101),IF(I101=2,Pondération!B$4*(B101-D101),IF(I101=3,Pondération!B$5*(B101-D101),IF(I101=4,Pondération!B$6*(B101-D101),IF(I101=5,Pondération!B$7*(B101-D101),0)))))</f>
        <v>0</v>
      </c>
      <c r="K101" s="34">
        <f>IF(H101=5,Pondération!B$7*(A101-E101),0)</f>
        <v>0</v>
      </c>
      <c r="L101" s="34">
        <f>IF(I101=5,Pondération!B$7*(B101-D101),IF(I101=4,Pondération!B$6*(B101-D101),0))</f>
        <v>0</v>
      </c>
      <c r="M101" s="34">
        <f>IF(H101=1,Pondération!B$3*(A101-E101),IF(H101=2,Pondération!B$4*(A101-E101),IF(H101=3,Pondération!B$5*(A101-E101),IF(H101=4,Pondération!B$6*(A101-E101),IF(H101=5,Pondération!B$7*(A101-E101),0)))))</f>
        <v>0</v>
      </c>
      <c r="N101" s="34">
        <f t="shared" si="1"/>
        <v>0</v>
      </c>
      <c r="O101" s="34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34"/>
    </row>
    <row r="102" spans="1:42" ht="17.25" thickTop="1" thickBot="1" x14ac:dyDescent="0.25">
      <c r="A102" s="3"/>
      <c r="B102" s="3"/>
      <c r="C102" s="7" t="s">
        <v>110</v>
      </c>
      <c r="D102" s="5"/>
      <c r="E102" s="6"/>
      <c r="F102" s="34"/>
      <c r="G102" s="7" t="s">
        <v>110</v>
      </c>
      <c r="H102" s="14">
        <f>IF(Compos!A2="Singed",1,IF(Compos!A3="Singed",2,IF(Compos!A4="Singed",3,IF(Compos!A5="Singed",4,IF(Compos!A6="Singed",5,0)))))</f>
        <v>0</v>
      </c>
      <c r="I102" s="14">
        <f>IF(Compos!D2="Singed",1,IF(Compos!D3="Singed",2,IF(Compos!D4="Singed",3,IF(Compos!D5="Singed",4,IF(Compos!D6="Singed",5,0)))))</f>
        <v>0</v>
      </c>
      <c r="J102" s="34">
        <f>IF(I102=1,Pondération!B$3*(B102-D102),IF(I102=2,Pondération!B$4*(B102-D102),IF(I102=3,Pondération!B$5*(B102-D102),IF(I102=4,Pondération!B$6*(B102-D102),IF(I102=5,Pondération!B$7*(B102-D102),0)))))</f>
        <v>0</v>
      </c>
      <c r="K102" s="34">
        <f>IF(H102=5,Pondération!B$7*(A102-E102),0)</f>
        <v>0</v>
      </c>
      <c r="L102" s="34">
        <f>IF(I102=5,Pondération!B$7*(B102-D102),IF(I102=4,Pondération!B$6*(B102-D102),0))</f>
        <v>0</v>
      </c>
      <c r="M102" s="34">
        <f>IF(H102=1,Pondération!B$3*(A102-E102),IF(H102=2,Pondération!B$4*(A102-E102),IF(H102=3,Pondération!B$5*(A102-E102),IF(H102=4,Pondération!B$6*(A102-E102),IF(H102=5,Pondération!B$7*(A102-E102),0)))))</f>
        <v>0</v>
      </c>
      <c r="N102" s="34">
        <f t="shared" si="1"/>
        <v>0</v>
      </c>
      <c r="O102" s="34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34"/>
    </row>
    <row r="103" spans="1:42" ht="17.25" thickTop="1" thickBot="1" x14ac:dyDescent="0.25">
      <c r="A103" s="3"/>
      <c r="B103" s="3"/>
      <c r="C103" s="7" t="s">
        <v>111</v>
      </c>
      <c r="D103" s="5"/>
      <c r="E103" s="6"/>
      <c r="F103" s="34"/>
      <c r="G103" s="7" t="s">
        <v>111</v>
      </c>
      <c r="H103" s="14">
        <f>IF(Compos!A2="Sion",1,IF(Compos!A3="Sion",2,IF(Compos!A4="Sion",3,IF(Compos!A5="Sion",4,IF(Compos!A6="Sion",5,0)))))</f>
        <v>0</v>
      </c>
      <c r="I103" s="14">
        <f>IF(Compos!D2="Sion",1,IF(Compos!D3="Sion",2,IF(Compos!D4="Sion",3,IF(Compos!D5="Sion",4,IF(Compos!D6="Sion",5,0)))))</f>
        <v>0</v>
      </c>
      <c r="J103" s="34">
        <f>IF(I103=1,Pondération!B$3*(B103-D103),IF(I103=2,Pondération!B$4*(B103-D103),IF(I103=3,Pondération!B$5*(B103-D103),IF(I103=4,Pondération!B$6*(B103-D103),IF(I103=5,Pondération!B$7*(B103-D103),0)))))</f>
        <v>0</v>
      </c>
      <c r="K103" s="34">
        <f>IF(H103=5,Pondération!B$7*(A103-E103),0)</f>
        <v>0</v>
      </c>
      <c r="L103" s="34">
        <f>IF(I103=5,Pondération!B$7*(B103-D103),IF(I103=4,Pondération!B$6*(B103-D103),0))</f>
        <v>0</v>
      </c>
      <c r="M103" s="34">
        <f>IF(H103=1,Pondération!B$3*(A103-E103),IF(H103=2,Pondération!B$4*(A103-E103),IF(H103=3,Pondération!B$5*(A103-E103),IF(H103=4,Pondération!B$6*(A103-E103),IF(H103=5,Pondération!B$7*(A103-E103),0)))))</f>
        <v>0</v>
      </c>
      <c r="N103" s="34">
        <f t="shared" si="1"/>
        <v>0</v>
      </c>
      <c r="O103" s="34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34"/>
    </row>
    <row r="104" spans="1:42" ht="17.25" thickTop="1" thickBot="1" x14ac:dyDescent="0.25">
      <c r="A104" s="3"/>
      <c r="B104" s="3"/>
      <c r="C104" s="7" t="s">
        <v>112</v>
      </c>
      <c r="D104" s="5"/>
      <c r="E104" s="6"/>
      <c r="F104" s="34"/>
      <c r="G104" s="7" t="s">
        <v>112</v>
      </c>
      <c r="H104" s="14">
        <f>IF(OR(Compos!A2="Sivir",Compos!A2="Siv"),1,IF(OR(Compos!A3="Sivir",Compos!A3="Siv"),2,IF(OR(Compos!A4="Sivir",Compos!A4="Siv"),3,IF(OR(Compos!A5="Sivir",Compos!A5="Siv"),4,IF(OR(Compos!A6="Sivir",Compos!A6="Siv"),5,0)))))</f>
        <v>0</v>
      </c>
      <c r="I104" s="14">
        <f>IF(OR(Compos!D2="Sivir",Compos!D2="Siv"),1,IF(OR(Compos!D3="Sivir",Compos!D3="Siv"),2,IF(OR(Compos!D4="Sivir",Compos!D4="Siv"),3,IF(OR(Compos!D5="Sivir",Compos!D5="Siv"),4,IF(OR(Compos!D6="Sivir",Compos!D6="Siv"),5,0)))))</f>
        <v>0</v>
      </c>
      <c r="J104" s="34">
        <f>IF(I104=1,Pondération!B$3*(B104-D104),IF(I104=2,Pondération!B$4*(B104-D104),IF(I104=3,Pondération!B$5*(B104-D104),IF(I104=4,Pondération!B$6*(B104-D104),IF(I104=5,Pondération!B$7*(B104-D104),0)))))</f>
        <v>0</v>
      </c>
      <c r="K104" s="34">
        <f>IF(H104=5,Pondération!B$7*(A104-E104),0)</f>
        <v>0</v>
      </c>
      <c r="L104" s="34">
        <f>IF(I104=5,Pondération!B$7*(B104-D104),IF(I104=4,Pondération!B$6*(B104-D104),0))</f>
        <v>0</v>
      </c>
      <c r="M104" s="34">
        <f>IF(H104=1,Pondération!B$3*(A104-E104),IF(H104=2,Pondération!B$4*(A104-E104),IF(H104=3,Pondération!B$5*(A104-E104),IF(H104=4,Pondération!B$6*(A104-E104),IF(H104=5,Pondération!B$7*(A104-E104),0)))))</f>
        <v>0</v>
      </c>
      <c r="N104" s="34">
        <f t="shared" si="1"/>
        <v>0</v>
      </c>
      <c r="O104" s="34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34"/>
    </row>
    <row r="105" spans="1:42" ht="17.25" thickTop="1" thickBot="1" x14ac:dyDescent="0.25">
      <c r="A105" s="3"/>
      <c r="B105" s="3"/>
      <c r="C105" s="7" t="s">
        <v>113</v>
      </c>
      <c r="D105" s="5"/>
      <c r="E105" s="6"/>
      <c r="F105" s="34"/>
      <c r="G105" s="7" t="s">
        <v>113</v>
      </c>
      <c r="H105" s="14">
        <f>IF(Compos!A2="Skarner",1,IF(Compos!A3="Skarner",2,IF(Compos!A4="Skarner",3,IF(Compos!A5="Skarner",4,IF(Compos!A6="Skarner",5,0)))))</f>
        <v>0</v>
      </c>
      <c r="I105" s="14">
        <f>IF(Compos!D2="Skarner",1,IF(Compos!D3="Skarner",2,IF(Compos!D4="Skarner",3,IF(Compos!D5="Skarner",4,IF(Compos!D6="Skarner",5,0)))))</f>
        <v>0</v>
      </c>
      <c r="J105" s="34">
        <f>IF(I105=1,Pondération!B$3*(B105-D105),IF(I105=2,Pondération!B$4*(B105-D105),IF(I105=3,Pondération!B$5*(B105-D105),IF(I105=4,Pondération!B$6*(B105-D105),IF(I105=5,Pondération!B$7*(B105-D105),0)))))</f>
        <v>0</v>
      </c>
      <c r="K105" s="34">
        <f>IF(H105=5,Pondération!B$7*(A105-E105),0)</f>
        <v>0</v>
      </c>
      <c r="L105" s="34">
        <f>IF(I105=5,Pondération!B$7*(B105-D105),IF(I105=4,Pondération!B$6*(B105-D105),0))</f>
        <v>0</v>
      </c>
      <c r="M105" s="34">
        <f>IF(H105=1,Pondération!B$3*(A105-E105),IF(H105=2,Pondération!B$4*(A105-E105),IF(H105=3,Pondération!B$5*(A105-E105),IF(H105=4,Pondération!B$6*(A105-E105),IF(H105=5,Pondération!B$7*(A105-E105),0)))))</f>
        <v>0</v>
      </c>
      <c r="N105" s="34">
        <f t="shared" si="1"/>
        <v>0</v>
      </c>
      <c r="O105" s="34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34"/>
    </row>
    <row r="106" spans="1:42" ht="17.25" thickTop="1" thickBot="1" x14ac:dyDescent="0.25">
      <c r="A106" s="3"/>
      <c r="B106" s="3"/>
      <c r="C106" s="7" t="s">
        <v>114</v>
      </c>
      <c r="D106" s="5"/>
      <c r="E106" s="6"/>
      <c r="F106" s="34"/>
      <c r="G106" s="7" t="s">
        <v>114</v>
      </c>
      <c r="H106" s="14">
        <f>IF(Compos!A2="Sona",1,IF(Compos!A3="Sona",2,IF(Compos!A4="Sona",3,IF(Compos!A5="Sona",4,IF(Compos!A6="Sona",5,0)))))</f>
        <v>0</v>
      </c>
      <c r="I106" s="14">
        <f>IF(Compos!D2="Sona",1,IF(Compos!D3="Sona",2,IF(Compos!D4="Sona",3,IF(Compos!D5="Sona",4,IF(Compos!D6="Sona",5,0)))))</f>
        <v>0</v>
      </c>
      <c r="J106" s="34">
        <f>IF(I106=1,Pondération!B$3*(B106-D106),IF(I106=2,Pondération!B$4*(B106-D106),IF(I106=3,Pondération!B$5*(B106-D106),IF(I106=4,Pondération!B$6*(B106-D106),IF(I106=5,Pondération!B$7*(B106-D106),0)))))</f>
        <v>0</v>
      </c>
      <c r="K106" s="34">
        <f>IF(H106=5,Pondération!B$7*(A106-E106),0)</f>
        <v>0</v>
      </c>
      <c r="L106" s="34">
        <f>IF(I106=5,Pondération!B$7*(B106-D106),IF(I106=4,Pondération!B$6*(B106-D106),0))</f>
        <v>0</v>
      </c>
      <c r="M106" s="34">
        <f>IF(H106=1,Pondération!B$3*(A106-E106),IF(H106=2,Pondération!B$4*(A106-E106),IF(H106=3,Pondération!B$5*(A106-E106),IF(H106=4,Pondération!B$6*(A106-E106),IF(H106=5,Pondération!B$7*(A106-E106),0)))))</f>
        <v>0</v>
      </c>
      <c r="N106" s="34">
        <f t="shared" si="1"/>
        <v>0</v>
      </c>
      <c r="O106" s="34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34"/>
    </row>
    <row r="107" spans="1:42" ht="17.25" thickTop="1" thickBot="1" x14ac:dyDescent="0.25">
      <c r="A107" s="3"/>
      <c r="B107" s="3"/>
      <c r="C107" s="7" t="s">
        <v>115</v>
      </c>
      <c r="D107" s="5"/>
      <c r="E107" s="6"/>
      <c r="F107" s="34"/>
      <c r="G107" s="7" t="s">
        <v>115</v>
      </c>
      <c r="H107" s="14">
        <f>IF(OR(Compos!A2="Soraka",Compos!A2="Raka"),1,IF(OR(Compos!A3="Soraka",Compos!A3="Raka"),2,IF(OR(Compos!A4="Soraka",Compos!A4="Raka"),3,IF(OR(Compos!A5="Soraka",Compos!A5="Raka"),4,IF(OR(Compos!A6="Soraka",Compos!A6="Raka"),5,0)))))</f>
        <v>0</v>
      </c>
      <c r="I107" s="14">
        <f>IF(OR(Compos!D2="Soraka",Compos!D2="Raka"),1,IF(OR(Compos!D3="Soraka",Compos!D3="Raka"),2,IF(OR(Compos!D4="Soraka",Compos!D4="Raka"),3,IF(OR(Compos!D5="Soraka",Compos!D5="Raka"),4,IF(OR(Compos!D6="Soraka",Compos!D6="Raka"),5,0)))))</f>
        <v>0</v>
      </c>
      <c r="J107" s="34">
        <f>IF(I107=1,Pondération!B$3*(B107-D107),IF(I107=2,Pondération!B$4*(B107-D107),IF(I107=3,Pondération!B$5*(B107-D107),IF(I107=4,Pondération!B$6*(B107-D107),IF(I107=5,Pondération!B$7*(B107-D107),0)))))</f>
        <v>0</v>
      </c>
      <c r="K107" s="34">
        <f>IF(H107=5,Pondération!B$7*(A107-E107),0)</f>
        <v>0</v>
      </c>
      <c r="L107" s="34">
        <f>IF(I107=5,Pondération!B$7*(B107-D107),IF(I107=4,Pondération!B$6*(B107-D107),0))</f>
        <v>0</v>
      </c>
      <c r="M107" s="34">
        <f>IF(H107=1,Pondération!B$3*(A107-E107),IF(H107=2,Pondération!B$4*(A107-E107),IF(H107=3,Pondération!B$5*(A107-E107),IF(H107=4,Pondération!B$6*(A107-E107),IF(H107=5,Pondération!B$7*(A107-E107),0)))))</f>
        <v>0</v>
      </c>
      <c r="N107" s="34">
        <f t="shared" si="1"/>
        <v>0</v>
      </c>
      <c r="O107" s="34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34"/>
    </row>
    <row r="108" spans="1:42" ht="17.25" thickTop="1" thickBot="1" x14ac:dyDescent="0.25">
      <c r="A108" s="3"/>
      <c r="B108" s="3"/>
      <c r="C108" s="7" t="s">
        <v>116</v>
      </c>
      <c r="D108" s="5"/>
      <c r="E108" s="6"/>
      <c r="F108" s="34"/>
      <c r="G108" s="7" t="s">
        <v>116</v>
      </c>
      <c r="H108" s="14">
        <f>IF(Compos!A2="Swain",1,IF(Compos!A3="Swain",2,IF(Compos!A4="Swain",3,IF(Compos!A5="Swain",4,IF(Compos!A6="Swain",5,0)))))</f>
        <v>0</v>
      </c>
      <c r="I108" s="14">
        <f>IF(Compos!D2="Swain",1,IF(Compos!D3="Swain",2,IF(Compos!D4="Swain",3,IF(Compos!D5="Swain",4,IF(Compos!D6="Swain",5,0)))))</f>
        <v>0</v>
      </c>
      <c r="J108" s="34">
        <f>IF(I108=1,Pondération!B$3*(B108-D108),IF(I108=2,Pondération!B$4*(B108-D108),IF(I108=3,Pondération!B$5*(B108-D108),IF(I108=4,Pondération!B$6*(B108-D108),IF(I108=5,Pondération!B$7*(B108-D108),0)))))</f>
        <v>0</v>
      </c>
      <c r="K108" s="34">
        <f>IF(H108=5,Pondération!B$7*(A108-E108),0)</f>
        <v>0</v>
      </c>
      <c r="L108" s="34">
        <f>IF(I108=5,Pondération!B$7*(B108-D108),IF(I108=4,Pondération!B$6*(B108-D108),0))</f>
        <v>0</v>
      </c>
      <c r="M108" s="34">
        <f>IF(H108=1,Pondération!B$3*(A108-E108),IF(H108=2,Pondération!B$4*(A108-E108),IF(H108=3,Pondération!B$5*(A108-E108),IF(H108=4,Pondération!B$6*(A108-E108),IF(H108=5,Pondération!B$7*(A108-E108),0)))))</f>
        <v>0</v>
      </c>
      <c r="N108" s="34">
        <f t="shared" si="1"/>
        <v>0</v>
      </c>
      <c r="O108" s="34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34"/>
    </row>
    <row r="109" spans="1:42" s="44" customFormat="1" ht="17.25" thickTop="1" thickBot="1" x14ac:dyDescent="0.25">
      <c r="A109" s="3"/>
      <c r="B109" s="3"/>
      <c r="C109" s="7" t="s">
        <v>745</v>
      </c>
      <c r="D109" s="5"/>
      <c r="E109" s="6"/>
      <c r="G109" s="7" t="s">
        <v>745</v>
      </c>
      <c r="H109" s="14">
        <f>IF(OR(Compos!A2="Sylas",Compos!A2="Syl",Compos!A2="Las"),1,IF(OR(Compos!A3="Sylas",Compos!A3="Syl",Compos!A3="Las"),2,IF(OR(Compos!A4="Sylas",Compos!A4="Syl",Compos!A4="Las"),3,IF(OR(Compos!A5="Sylas",Compos!A5="Syl",Compos!A5="Las"),4,IF(OR(Compos!A6="Sylas",Compos!A6="Syl",Compos!A6="Las"),5,0)))))</f>
        <v>0</v>
      </c>
      <c r="I109" s="14">
        <f>IF(OR(Compos!D2="Sylas",Compos!D2="Syl",Compos!D2="Las"),1,IF(OR(Compos!D3="Sylas",Compos!D3="Syl",Compos!D3="Las"),2,IF(OR(Compos!D4="Sylas",Compos!D4="Syl",Compos!D4="Las"),3,IF(OR(Compos!D5="Sylas",Compos!D5="Syl",Compos!D5="Las"),4,IF(OR(Compos!D6="Sylas",Compos!D6="Syl",Compos!D6="Las"),5,0)))))</f>
        <v>0</v>
      </c>
      <c r="J109" s="44">
        <f>IF(I109=1,Pondération!B$3*(B109-D109),IF(I109=2,Pondération!B$4*(B109-D109),IF(I109=3,Pondération!B$5*(B109-D109),IF(I109=4,Pondération!B$6*(B109-D109),IF(I109=5,Pondération!B$7*(B109-D109),0)))))</f>
        <v>0</v>
      </c>
      <c r="K109" s="44">
        <f>IF(H109=5,Pondération!B$7*(A109-E109),0)</f>
        <v>0</v>
      </c>
      <c r="L109" s="44">
        <f>IF(I109=5,Pondération!B$7*(B109-D109),IF(I109=4,Pondération!B$6*(B109-D109),0))</f>
        <v>0</v>
      </c>
      <c r="M109" s="44">
        <f>IF(H109=1,Pondération!B$3*(A109-E109),IF(H109=2,Pondération!B$4*(A109-E109),IF(H109=3,Pondération!B$5*(A109-E109),IF(H109=4,Pondération!B$6*(A109-E109),IF(H109=5,Pondération!B$7*(A109-E109),0)))))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2" ht="17.25" thickTop="1" thickBot="1" x14ac:dyDescent="0.25">
      <c r="A110" s="3"/>
      <c r="B110" s="3"/>
      <c r="C110" s="7" t="s">
        <v>117</v>
      </c>
      <c r="D110" s="5"/>
      <c r="E110" s="6"/>
      <c r="F110" s="34"/>
      <c r="G110" s="7" t="s">
        <v>117</v>
      </c>
      <c r="H110" s="14">
        <f>IF(Compos!A2="Syndra",1,IF(Compos!A3="Syndra",2,IF(Compos!A4="Syndra",3,IF(Compos!A5="Syndra",4,IF(Compos!A6="Syndra",5,0)))))</f>
        <v>0</v>
      </c>
      <c r="I110" s="14">
        <f>IF(Compos!D2="Syndra",1,IF(Compos!D3="Syndra",2,IF(Compos!D4="Syndra",3,IF(Compos!D5="Syndra",4,IF(Compos!D6="Syndra",5,0)))))</f>
        <v>0</v>
      </c>
      <c r="J110" s="34">
        <f>IF(I110=1,Pondération!B$3*(B110-D110),IF(I110=2,Pondération!B$4*(B110-D110),IF(I110=3,Pondération!B$5*(B110-D110),IF(I110=4,Pondération!B$6*(B110-D110),IF(I110=5,Pondération!B$7*(B110-D110),0)))))</f>
        <v>0</v>
      </c>
      <c r="K110" s="34">
        <f>IF(H110=5,Pondération!B$7*(A110-E110),0)</f>
        <v>0</v>
      </c>
      <c r="L110" s="34">
        <f>IF(I110=5,Pondération!B$7*(B110-D110),IF(I110=4,Pondération!B$6*(B110-D110),0))</f>
        <v>0</v>
      </c>
      <c r="M110" s="34">
        <f>IF(H110=1,Pondération!B$3*(A110-E110),IF(H110=2,Pondération!B$4*(A110-E110),IF(H110=3,Pondération!B$5*(A110-E110),IF(H110=4,Pondération!B$6*(A110-E110),IF(H110=5,Pondération!B$7*(A110-E110),0)))))</f>
        <v>0</v>
      </c>
      <c r="N110" s="34">
        <f t="shared" si="1"/>
        <v>0</v>
      </c>
      <c r="O110" s="34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34"/>
    </row>
    <row r="111" spans="1:42" ht="17.25" thickTop="1" thickBot="1" x14ac:dyDescent="0.25">
      <c r="A111" s="3"/>
      <c r="B111" s="3"/>
      <c r="C111" s="7" t="s">
        <v>118</v>
      </c>
      <c r="D111" s="5"/>
      <c r="E111" s="6"/>
      <c r="F111" s="34"/>
      <c r="G111" s="7" t="s">
        <v>118</v>
      </c>
      <c r="H111" s="14">
        <f>IF(OR(Compos!A2="Tahm Kench",Compos!A2="Tahm",Compos!A2="Kench ",Compos!A2="TK"),1,IF(OR(Compos!A3="Tahm Kench",Compos!A3="Tahm",Compos!A3="Kench ",Compos!A3="TK"),2,IF(OR(Compos!A4="Tahm Kench",Compos!A4="Tahm",Compos!A4="Kench ",Compos!A4="TK"),3,IF(OR(Compos!A5="Tahm Kench",Compos!A5="Tahm",Compos!A5="Kench ",Compos!A5="TK"),4,IF(OR(Compos!A6="Tahm Kench",Compos!A6="Tahm",Compos!A6="Kench ",Compos!A6="TK"),5,0)))))</f>
        <v>0</v>
      </c>
      <c r="I111" s="14">
        <f>IF(OR(Compos!D2="Tahm Kench",Compos!D2="Tahm",Compos!D2="Kench ",Compos!D2="TK"),1,IF(OR(Compos!D3="Tahm Kench",Compos!D3="Tahm",Compos!D3="Kench ",Compos!D3="TK"),2,IF(OR(Compos!D4="Tahm Kench",Compos!D4="Tahm",Compos!D4="Kench ",Compos!D4="TK"),3,IF(OR(Compos!D5="Tahm Kench",Compos!D5="Tahm",Compos!D5="Kench ",Compos!D5="TK"),4,IF(OR(Compos!D6="Tahm Kench",Compos!D6="Tahm",Compos!D6="Kench ",Compos!D6="TK"),5,0)))))</f>
        <v>0</v>
      </c>
      <c r="J111" s="34">
        <f>IF(I111=1,Pondération!B$3*(B111-D111),IF(I111=2,Pondération!B$4*(B111-D111),IF(I111=3,Pondération!B$5*(B111-D111),IF(I111=4,Pondération!B$6*(B111-D111),IF(I111=5,Pondération!B$7*(B111-D111),0)))))</f>
        <v>0</v>
      </c>
      <c r="K111" s="34">
        <f>IF(H111=5,Pondération!B$7*(A111-E111),0)</f>
        <v>0</v>
      </c>
      <c r="L111" s="34">
        <f>IF(I111=5,Pondération!B$7*(B111-D111),IF(I111=4,Pondération!B$6*(B111-D111),0))</f>
        <v>0</v>
      </c>
      <c r="M111" s="34">
        <f>IF(H111=1,Pondération!B$3*(A111-E111),IF(H111=2,Pondération!B$4*(A111-E111),IF(H111=3,Pondération!B$5*(A111-E111),IF(H111=4,Pondération!B$6*(A111-E111),IF(H111=5,Pondération!B$7*(A111-E111),0)))))</f>
        <v>0</v>
      </c>
      <c r="N111" s="34">
        <f t="shared" si="1"/>
        <v>0</v>
      </c>
      <c r="O111" s="34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34"/>
    </row>
    <row r="112" spans="1:42" ht="17.25" thickTop="1" thickBot="1" x14ac:dyDescent="0.3">
      <c r="A112" s="3"/>
      <c r="B112" s="3"/>
      <c r="C112" s="7" t="s">
        <v>119</v>
      </c>
      <c r="D112" s="5"/>
      <c r="E112" s="6"/>
      <c r="F112" s="34"/>
      <c r="G112" s="7" t="s">
        <v>119</v>
      </c>
      <c r="H112" s="14">
        <f>IF(OR(Compos!A2="Taliyah",Compos!A2="Taliya",Compos!A2="Talyia",Compos!A2="Talya", Compos!A2="Taliyah",Compos!A2="Talyah"),1,IF(OR(Compos!A3="Taliyah",Compos!A3="Taliya",Compos!A3="Talyia",Compos!A3="Talya", Compos!A3="Taliyah",Compos!A3="Talyah"),2,IF(OR(Compos!A4="Taliyah",Compos!A4="Taliya",Compos!A4="Talyia",Compos!A4="Talya", Compos!A4="Taliyah",Compos!A4="Talyah"),3,IF(OR(Compos!A5="Taliyah",Compos!A5="Taliya",Compos!A5="Talyia",Compos!A5="Talya", Compos!A5="Taliyah",Compos!A5="Talyah"),4,IF(OR(Compos!A6="Taliyah",Compos!A6="Taliya",Compos!A6="Talyia",Compos!A6="Talya", Compos!A6="Taliyah",Compos!A6="Talyah"),5,0)))))</f>
        <v>0</v>
      </c>
      <c r="I112" s="19">
        <f>IF(OR(Compos!D2="Taliyah",Compos!D2="Taliya",Compos!D2="Talyia",Compos!D2="Talya", Compos!D2="Taliyah", Compos!D2="Talyah"),1,IF(OR(Compos!D3="Taliyah",Compos!D3="Taliya",Compos!D3="Talyia",Compos!D3="Talya", Compos!D3="Taliyah", Compos!D3="Talyah"),2,IF(OR(Compos!D4="Taliyah",Compos!D4="Taliya",Compos!D4="Talyia",Compos!D4="Talya", Compos!D4="Taliyah",Compos!D4="Talyah"),3,IF(OR(Compos!D5="Taliyah",Compos!D5="Taliya",Compos!D5="Talyia",Compos!D5="Talya", Compos!D5="Taliyah",Compos!D5="Talyah"),4,IF(OR(Compos!D6="Taliyah",Compos!D6="Taliya",Compos!D6="Talyia",Compos!D6="Talya", Compos!D6="Taliyah",Compos!D6="Talyah"),5,0)))))</f>
        <v>0</v>
      </c>
      <c r="J112" s="34">
        <f>IF(I112=1,Pondération!B$3*(B112-D112),IF(I112=2,Pondération!B$4*(B112-D112),IF(I112=3,Pondération!B$5*(B112-D112),IF(I112=4,Pondération!B$6*(B112-D112),IF(I112=5,Pondération!B$7*(B112-D112),0)))))</f>
        <v>0</v>
      </c>
      <c r="K112" s="34">
        <f>IF(H112=5,Pondération!B$7*(A112-E112),0)</f>
        <v>0</v>
      </c>
      <c r="L112" s="34">
        <f>IF(I112=5,Pondération!B$7*(B112-D112),IF(I112=4,Pondération!B$6*(B112-D112),0))</f>
        <v>0</v>
      </c>
      <c r="M112" s="34">
        <f>IF(H112=1,Pondération!B$3*(A112-E112),IF(H112=2,Pondération!B$4*(A112-E112),IF(H112=3,Pondération!B$5*(A112-E112),IF(H112=4,Pondération!B$6*(A112-E112),IF(H112=5,Pondération!B$7*(A112-E112),0)))))</f>
        <v>0</v>
      </c>
      <c r="N112" s="34">
        <f t="shared" si="1"/>
        <v>0</v>
      </c>
      <c r="O112" s="34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34"/>
    </row>
    <row r="113" spans="1:42" ht="17.25" thickTop="1" thickBot="1" x14ac:dyDescent="0.25">
      <c r="A113" s="3"/>
      <c r="B113" s="3"/>
      <c r="C113" s="7" t="s">
        <v>120</v>
      </c>
      <c r="D113" s="5"/>
      <c r="E113" s="6"/>
      <c r="F113" s="34"/>
      <c r="G113" s="7" t="s">
        <v>120</v>
      </c>
      <c r="H113" s="14">
        <f>IF(Compos!A2="Talon",1,IF(Compos!A3="Talon",2,IF(Compos!A4="Talon",3,IF(Compos!A5="Talon",4,IF(Compos!A6="Talon",5,0)))))</f>
        <v>0</v>
      </c>
      <c r="I113" s="14">
        <f>IF(Compos!D2="Talon",1,IF(Compos!D3="Talon",2,IF(Compos!D4="Talon",3,IF(Compos!D5="Talon",4,IF(Compos!D6="Talon",5,0)))))</f>
        <v>0</v>
      </c>
      <c r="J113" s="34">
        <f>IF(I113=1,Pondération!B$3*(B113-D113),IF(I113=2,Pondération!B$4*(B113-D113),IF(I113=3,Pondération!B$5*(B113-D113),IF(I113=4,Pondération!B$6*(B113-D113),IF(I113=5,Pondération!B$7*(B113-D113),0)))))</f>
        <v>0</v>
      </c>
      <c r="K113" s="34">
        <f>IF(H113=5,Pondération!B$7*(A113-E113),0)</f>
        <v>0</v>
      </c>
      <c r="L113" s="34">
        <f>IF(I113=5,Pondération!B$7*(B113-D113),IF(I113=4,Pondération!B$6*(B113-D113),0))</f>
        <v>0</v>
      </c>
      <c r="M113" s="34">
        <f>IF(H113=1,Pondération!B$3*(A113-E113),IF(H113=2,Pondération!B$4*(A113-E113),IF(H113=3,Pondération!B$5*(A113-E113),IF(H113=4,Pondération!B$6*(A113-E113),IF(H113=5,Pondération!B$7*(A113-E113),0)))))</f>
        <v>0</v>
      </c>
      <c r="N113" s="34">
        <f t="shared" si="1"/>
        <v>0</v>
      </c>
      <c r="O113" s="34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34"/>
    </row>
    <row r="114" spans="1:42" ht="17.25" thickTop="1" thickBot="1" x14ac:dyDescent="0.25">
      <c r="A114" s="3"/>
      <c r="B114" s="3"/>
      <c r="C114" s="7" t="s">
        <v>121</v>
      </c>
      <c r="D114" s="5"/>
      <c r="E114" s="6"/>
      <c r="F114" s="34"/>
      <c r="G114" s="7" t="s">
        <v>121</v>
      </c>
      <c r="H114" s="14">
        <f>IF(Compos!A2="Taric",1,IF(Compos!A3="Taric",2,IF(Compos!A4="Taric",3,IF(Compos!A5="Taric",4,IF(Compos!A6="Taric",5,0)))))</f>
        <v>0</v>
      </c>
      <c r="I114" s="14">
        <f>IF(Compos!D2="Taric",1,IF(Compos!D3="Taric",2,IF(Compos!D4="Taric",3,IF(Compos!D5="Taric",4,IF(Compos!D6="Taric",5,0)))))</f>
        <v>0</v>
      </c>
      <c r="J114" s="34">
        <f>IF(I114=1,Pondération!B$3*(B114-D114),IF(I114=2,Pondération!B$4*(B114-D114),IF(I114=3,Pondération!B$5*(B114-D114),IF(I114=4,Pondération!B$6*(B114-D114),IF(I114=5,Pondération!B$7*(B114-D114),0)))))</f>
        <v>0</v>
      </c>
      <c r="K114" s="34">
        <f>IF(H114=5,Pondération!B$7*(A114-E114),0)</f>
        <v>0</v>
      </c>
      <c r="L114" s="34">
        <f>IF(I114=5,Pondération!B$7*(B114-D114),IF(I114=4,Pondération!B$6*(B114-D114),0))</f>
        <v>0</v>
      </c>
      <c r="M114" s="34">
        <f>IF(H114=1,Pondération!B$3*(A114-E114),IF(H114=2,Pondération!B$4*(A114-E114),IF(H114=3,Pondération!B$5*(A114-E114),IF(H114=4,Pondération!B$6*(A114-E114),IF(H114=5,Pondération!B$7*(A114-E114),0)))))</f>
        <v>0</v>
      </c>
      <c r="N114" s="34">
        <f t="shared" si="1"/>
        <v>0</v>
      </c>
      <c r="O114" s="34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34"/>
    </row>
    <row r="115" spans="1:42" ht="17.25" thickTop="1" thickBot="1" x14ac:dyDescent="0.25">
      <c r="A115" s="3"/>
      <c r="B115" s="3"/>
      <c r="C115" s="7" t="s">
        <v>122</v>
      </c>
      <c r="D115" s="5"/>
      <c r="E115" s="6"/>
      <c r="F115" s="34"/>
      <c r="G115" s="7" t="s">
        <v>122</v>
      </c>
      <c r="H115" s="14">
        <f>IF(Compos!A2="Teemo",1,IF(Compos!A3="Teemo",2,IF(Compos!A4="Teemo",3,IF(Compos!A5="Teemo",4,IF(Compos!A6="Teemo",5,0)))))</f>
        <v>0</v>
      </c>
      <c r="I115" s="14">
        <f>IF(Compos!D2="Teemo",1,IF(Compos!D3="Teemo",2,IF(Compos!D4="Teemo",3,IF(Compos!D5="Teemo",4,IF(Compos!D6="Teemo",5,0)))))</f>
        <v>0</v>
      </c>
      <c r="J115" s="34">
        <f>IF(I115=1,Pondération!B$3*(B115-D115),IF(I115=2,Pondération!B$4*(B115-D115),IF(I115=3,Pondération!B$5*(B115-D115),IF(I115=4,Pondération!B$6*(B115-D115),IF(I115=5,Pondération!B$7*(B115-D115),0)))))</f>
        <v>0</v>
      </c>
      <c r="K115" s="34">
        <f>IF(H115=5,Pondération!B$7*(A115-E115),0)</f>
        <v>0</v>
      </c>
      <c r="L115" s="34">
        <f>IF(I115=5,Pondération!B$7*(B115-D115),IF(I115=4,Pondération!B$6*(B115-D115),0))</f>
        <v>0</v>
      </c>
      <c r="M115" s="34">
        <f>IF(H115=1,Pondération!B$3*(A115-E115),IF(H115=2,Pondération!B$4*(A115-E115),IF(H115=3,Pondération!B$5*(A115-E115),IF(H115=4,Pondération!B$6*(A115-E115),IF(H115=5,Pondération!B$7*(A115-E115),0)))))</f>
        <v>0</v>
      </c>
      <c r="N115" s="34">
        <f t="shared" si="1"/>
        <v>0</v>
      </c>
      <c r="O115" s="34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34"/>
    </row>
    <row r="116" spans="1:42" ht="17.25" thickTop="1" thickBot="1" x14ac:dyDescent="0.25">
      <c r="A116" s="3"/>
      <c r="B116" s="3"/>
      <c r="C116" s="7" t="s">
        <v>123</v>
      </c>
      <c r="D116" s="5"/>
      <c r="E116" s="6"/>
      <c r="F116" s="34"/>
      <c r="G116" s="7" t="s">
        <v>123</v>
      </c>
      <c r="H116" s="14">
        <f>IF(OR(Compos!A2="Thresh",Compos!A2="Trhesh",Compos!A2="Tresh"),1,IF(OR(Compos!A3="Thresh",Compos!A3="Trhesh",Compos!A3="Tresh"),2,IF(OR(Compos!A4="Thresh",Compos!A4="Trhesh",Compos!A4="Tresh"),3,IF(OR(Compos!A5="Thresh",Compos!A5="Trhesh",Compos!A5="Tresh"),4,IF(OR(Compos!A6="Thresh",Compos!A6="Trhesh",Compos!A6="Tresh"),5,0)))))</f>
        <v>0</v>
      </c>
      <c r="I116" s="14">
        <f>IF(OR(Compos!D2="Thresh",Compos!D2="Trhesh",Compos!D2="Tresh"),1,IF(OR(Compos!D3="Thresh",Compos!D3="Trhesh",Compos!D3="Tresh"),2,IF(OR(Compos!D4="Thresh",Compos!D4="Trhesh",Compos!D4="Tresh"),3,IF(OR(Compos!D5="Thresh",Compos!D5="Trhesh",Compos!D5="Tresh"),4,IF(OR(Compos!D6="Thresh",Compos!D6="Trhesh",Compos!D6="Tresh"),5,0)))))</f>
        <v>0</v>
      </c>
      <c r="J116" s="34">
        <f>IF(I116=1,Pondération!B$3*(B116-D116),IF(I116=2,Pondération!B$4*(B116-D116),IF(I116=3,Pondération!B$5*(B116-D116),IF(I116=4,Pondération!B$6*(B116-D116),IF(I116=5,Pondération!B$7*(B116-D116),0)))))</f>
        <v>0</v>
      </c>
      <c r="K116" s="34">
        <f>IF(H116=5,Pondération!B$7*(A116-E116),0)</f>
        <v>0</v>
      </c>
      <c r="L116" s="34">
        <f>IF(I116=5,Pondération!B$7*(B116-D116),IF(I116=4,Pondération!B$6*(B116-D116),0))</f>
        <v>0</v>
      </c>
      <c r="M116" s="34">
        <f>IF(H116=1,Pondération!B$3*(A116-E116),IF(H116=2,Pondération!B$4*(A116-E116),IF(H116=3,Pondération!B$5*(A116-E116),IF(H116=4,Pondération!B$6*(A116-E116),IF(H116=5,Pondération!B$7*(A116-E116),0)))))</f>
        <v>0</v>
      </c>
      <c r="N116" s="34">
        <f t="shared" si="1"/>
        <v>0</v>
      </c>
      <c r="O116" s="34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34"/>
    </row>
    <row r="117" spans="1:42" ht="17.25" thickTop="1" thickBot="1" x14ac:dyDescent="0.25">
      <c r="A117" s="3"/>
      <c r="B117" s="3"/>
      <c r="C117" s="7" t="s">
        <v>124</v>
      </c>
      <c r="D117" s="5"/>
      <c r="E117" s="6"/>
      <c r="F117" s="34"/>
      <c r="G117" s="7" t="s">
        <v>124</v>
      </c>
      <c r="H117" s="14">
        <f>IF(OR(Compos!A2="Tristana",Compos!A2="Trist"),1,IF(OR(Compos!A3="Tristana",Compos!A3="Trist"),2,IF(OR(Compos!A4="Tristana",Compos!A4="Trist"),3,IF(OR(Compos!A5="Tristana",Compos!A5="Trist"),4,IF(OR(Compos!A6="Tristana",Compos!A6="Trist"),5,0)))))</f>
        <v>0</v>
      </c>
      <c r="I117" s="14">
        <f>IF(OR(Compos!D2="Tristana",Compos!D2="Trist"),1,IF(OR(Compos!D3="Tristana",Compos!D3="Trist"),2,IF(OR(Compos!D4="Tristana",Compos!D4="Trist"),3,IF(OR(Compos!D5="Tristana",Compos!D5="Trist"),4,IF(OR(Compos!D6="Tristana",Compos!D6="Trist"),5,0)))))</f>
        <v>0</v>
      </c>
      <c r="J117" s="34">
        <f>IF(I117=1,Pondération!B$3*(B117-D117),IF(I117=2,Pondération!B$4*(B117-D117),IF(I117=3,Pondération!B$5*(B117-D117),IF(I117=4,Pondération!B$6*(B117-D117),IF(I117=5,Pondération!B$7*(B117-D117),0)))))</f>
        <v>0</v>
      </c>
      <c r="K117" s="34">
        <f>IF(H117=5,Pondération!B$7*(A117-E117),0)</f>
        <v>0</v>
      </c>
      <c r="L117" s="34">
        <f>IF(I117=5,Pondération!B$7*(B117-D117),IF(I117=4,Pondération!B$6*(B117-D117),0))</f>
        <v>0</v>
      </c>
      <c r="M117" s="34">
        <f>IF(H117=1,Pondération!B$3*(A117-E117),IF(H117=2,Pondération!B$4*(A117-E117),IF(H117=3,Pondération!B$5*(A117-E117),IF(H117=4,Pondération!B$6*(A117-E117),IF(H117=5,Pondération!B$7*(A117-E117),0)))))</f>
        <v>0</v>
      </c>
      <c r="N117" s="34">
        <f t="shared" si="1"/>
        <v>0</v>
      </c>
      <c r="O117" s="34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34"/>
    </row>
    <row r="118" spans="1:42" ht="17.25" thickTop="1" thickBot="1" x14ac:dyDescent="0.25">
      <c r="A118" s="3"/>
      <c r="B118" s="3"/>
      <c r="C118" s="7" t="s">
        <v>125</v>
      </c>
      <c r="D118" s="5"/>
      <c r="E118" s="6"/>
      <c r="F118" s="34"/>
      <c r="G118" s="7" t="s">
        <v>125</v>
      </c>
      <c r="H118" s="14">
        <f>IF(Compos!A2="Trundle",1,IF(Compos!A3="Trundle",2,IF(Compos!A4="Trundle",3,IF(Compos!A5="Trundle",4,IF(Compos!A6="Trundle",5,0)))))</f>
        <v>0</v>
      </c>
      <c r="I118" s="14">
        <f>IF(Compos!D2="Trundle",1,IF(Compos!D3="Trundle",2,IF(Compos!D4="Trundle",3,IF(Compos!D5="Trundle",4,IF(Compos!D6="Trundle",5,0)))))</f>
        <v>0</v>
      </c>
      <c r="J118" s="34">
        <f>IF(I118=1,Pondération!B$3*(B118-D118),IF(I118=2,Pondération!B$4*(B118-D118),IF(I118=3,Pondération!B$5*(B118-D118),IF(I118=4,Pondération!B$6*(B118-D118),IF(I118=5,Pondération!B$7*(B118-D118),0)))))</f>
        <v>0</v>
      </c>
      <c r="K118" s="34">
        <f>IF(H118=5,Pondération!B$7*(A118-E118),0)</f>
        <v>0</v>
      </c>
      <c r="L118" s="34">
        <f>IF(I118=5,Pondération!B$7*(B118-D118),IF(I118=4,Pondération!B$6*(B118-D118),0))</f>
        <v>0</v>
      </c>
      <c r="M118" s="34">
        <f>IF(H118=1,Pondération!B$3*(A118-E118),IF(H118=2,Pondération!B$4*(A118-E118),IF(H118=3,Pondération!B$5*(A118-E118),IF(H118=4,Pondération!B$6*(A118-E118),IF(H118=5,Pondération!B$7*(A118-E118),0)))))</f>
        <v>0</v>
      </c>
      <c r="N118" s="34">
        <f t="shared" si="1"/>
        <v>0</v>
      </c>
      <c r="O118" s="34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34"/>
    </row>
    <row r="119" spans="1:42" ht="17.25" thickTop="1" thickBot="1" x14ac:dyDescent="0.25">
      <c r="A119" s="3"/>
      <c r="B119" s="3"/>
      <c r="C119" s="7" t="s">
        <v>126</v>
      </c>
      <c r="D119" s="5"/>
      <c r="E119" s="6"/>
      <c r="F119" s="34"/>
      <c r="G119" s="7" t="s">
        <v>126</v>
      </c>
      <c r="H119" s="14">
        <f>IF(OR(Compos!A2="Tryndamere",Compos!A2="Trynd",Compos!A2="Trynda"),1,IF(OR(Compos!A3="Tryndamere",Compos!A3="Trynd",Compos!A3="Trynda"),2,IF(OR(Compos!A4="Tryndamere",Compos!A4="Trynd",Compos!A4="Trynda"),3,IF(OR(Compos!A5="Tryndamere",Compos!A5="Trynd",Compos!A5="Trynda"),4,IF(OR(Compos!A6="Tryndamere",Compos!A6="Trynd",Compos!A6="Trynda"),5,0)))))</f>
        <v>0</v>
      </c>
      <c r="I119" s="14">
        <f>IF(OR(Compos!D2="Tryndamere",Compos!D2="Trynd",Compos!D2="Trynda"),1,IF(OR(Compos!D3="Tryndamere",Compos!D3="Trynd",Compos!D3="Trynda"),2,IF(OR(Compos!D4="Tryndamere",Compos!D4="Trynd",Compos!D4="Trynda"),3,IF(OR(Compos!D5="Tryndamere",Compos!D5="Trynd",Compos!D5="Trynda"),4,IF(OR(Compos!D6="Tryndamere",Compos!D6="Trynd",Compos!D6="Trynda"),5,0)))))</f>
        <v>0</v>
      </c>
      <c r="J119" s="34">
        <f>IF(I119=1,Pondération!B$3*(B119-D119),IF(I119=2,Pondération!B$4*(B119-D119),IF(I119=3,Pondération!B$5*(B119-D119),IF(I119=4,Pondération!B$6*(B119-D119),IF(I119=5,Pondération!B$7*(B119-D119),0)))))</f>
        <v>0</v>
      </c>
      <c r="K119" s="34">
        <f>IF(H119=5,Pondération!B$7*(A119-E119),0)</f>
        <v>0</v>
      </c>
      <c r="L119" s="34">
        <f>IF(I119=5,Pondération!B$7*(B119-D119),IF(I119=4,Pondération!B$6*(B119-D119),0))</f>
        <v>0</v>
      </c>
      <c r="M119" s="34">
        <f>IF(H119=1,Pondération!B$3*(A119-E119),IF(H119=2,Pondération!B$4*(A119-E119),IF(H119=3,Pondération!B$5*(A119-E119),IF(H119=4,Pondération!B$6*(A119-E119),IF(H119=5,Pondération!B$7*(A119-E119),0)))))</f>
        <v>0</v>
      </c>
      <c r="N119" s="34">
        <f t="shared" si="1"/>
        <v>0</v>
      </c>
      <c r="O119" s="34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34"/>
    </row>
    <row r="120" spans="1:42" ht="17.25" thickTop="1" thickBot="1" x14ac:dyDescent="0.25">
      <c r="A120" s="3"/>
      <c r="B120" s="3"/>
      <c r="C120" s="7" t="s">
        <v>127</v>
      </c>
      <c r="D120" s="5"/>
      <c r="E120" s="6"/>
      <c r="F120" s="34"/>
      <c r="G120" s="7" t="s">
        <v>127</v>
      </c>
      <c r="H120" s="14">
        <f>IF(OR(Compos!A2="Twisted Fate",Compos!A2="Twisted",Compos!A2="Fate ",Compos!A2="TF"),1,IF(OR(Compos!A3="Twisted Fate",Compos!A3="Twisted",Compos!A3="Fate ",Compos!A3="TF"),2,IF(OR(Compos!A4="Twisted Fate",Compos!A4="Twisted",Compos!A4="Fate ",Compos!A4="TF"),3,IF(OR(Compos!A5="Twisted Fate",Compos!A5="Twisted",Compos!A5="Fate ",Compos!A5="TF"),4,IF(OR(Compos!A6="Twisted Fate",Compos!A6="Twisted",Compos!A6="Fate ",Compos!A6="TF"),5,0)))))</f>
        <v>0</v>
      </c>
      <c r="I120" s="14">
        <f>IF(OR(Compos!D2="Twisted Fate",Compos!D2="Twisted",Compos!D2="Fate ",Compos!D2="TF"),1,IF(OR(Compos!D3="Twisted Fate",Compos!D3="Twisted",Compos!D3="Fate ",Compos!D3="TF"),2,IF(OR(Compos!D4="Twisted Fate",Compos!D4="Twisted",Compos!D4="Fate ",Compos!D4="TF"),3,IF(OR(Compos!D5="Twisted Fate",Compos!D5="Twisted",Compos!D5="Fate ",Compos!D5="TF"),4,IF(OR(Compos!D6="Twisted Fate",Compos!D6="Twisted",Compos!D6="Fate ",Compos!D6="TF"),5,0)))))</f>
        <v>0</v>
      </c>
      <c r="J120" s="34">
        <f>IF(I120=1,Pondération!B$3*(B120-D120),IF(I120=2,Pondération!B$4*(B120-D120),IF(I120=3,Pondération!B$5*(B120-D120),IF(I120=4,Pondération!B$6*(B120-D120),IF(I120=5,Pondération!B$7*(B120-D120),0)))))</f>
        <v>0</v>
      </c>
      <c r="K120" s="34">
        <f>IF(H120=5,Pondération!B$7*(A120-E120),0)</f>
        <v>0</v>
      </c>
      <c r="L120" s="34">
        <f>IF(I120=5,Pondération!B$7*(B120-D120),IF(I120=4,Pondération!B$6*(B120-D120),0))</f>
        <v>0</v>
      </c>
      <c r="M120" s="34">
        <f>IF(H120=1,Pondération!B$3*(A120-E120),IF(H120=2,Pondération!B$4*(A120-E120),IF(H120=3,Pondération!B$5*(A120-E120),IF(H120=4,Pondération!B$6*(A120-E120),IF(H120=5,Pondération!B$7*(A120-E120),0)))))</f>
        <v>0</v>
      </c>
      <c r="N120" s="34">
        <f t="shared" si="1"/>
        <v>0</v>
      </c>
      <c r="O120" s="34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34"/>
    </row>
    <row r="121" spans="1:42" ht="17.25" thickTop="1" thickBot="1" x14ac:dyDescent="0.25">
      <c r="A121" s="3"/>
      <c r="B121" s="3"/>
      <c r="C121" s="7" t="s">
        <v>128</v>
      </c>
      <c r="D121" s="5"/>
      <c r="E121" s="6"/>
      <c r="F121" s="34"/>
      <c r="G121" s="7" t="s">
        <v>128</v>
      </c>
      <c r="H121" s="14">
        <f>IF(Compos!A2="Twitch",1,IF(Compos!A3="Twitch",2,IF(Compos!A4="Twitch",3,IF(Compos!A5="Twitch",4,IF(Compos!A6="Twitch",5,0)))))</f>
        <v>0</v>
      </c>
      <c r="I121" s="14">
        <f>IF(Compos!D2="Twitch",1,IF(Compos!D3="Twitch",2,IF(Compos!D4="Twitch",3,IF(Compos!D5="Twitch",4,IF(Compos!D6="Twitch",5,0)))))</f>
        <v>0</v>
      </c>
      <c r="J121" s="34">
        <f>IF(I121=1,Pondération!B$3*(B121-D121),IF(I121=2,Pondération!B$4*(B121-D121),IF(I121=3,Pondération!B$5*(B121-D121),IF(I121=4,Pondération!B$6*(B121-D121),IF(I121=5,Pondération!B$7*(B121-D121),0)))))</f>
        <v>0</v>
      </c>
      <c r="K121" s="34">
        <f>IF(H121=5,Pondération!B$7*(A121-E121),0)</f>
        <v>0</v>
      </c>
      <c r="L121" s="34">
        <f>IF(I121=5,Pondération!B$7*(B121-D121),IF(I121=4,Pondération!B$6*(B121-D121),0))</f>
        <v>0</v>
      </c>
      <c r="M121" s="34">
        <f>IF(H121=1,Pondération!B$3*(A121-E121),IF(H121=2,Pondération!B$4*(A121-E121),IF(H121=3,Pondération!B$5*(A121-E121),IF(H121=4,Pondération!B$6*(A121-E121),IF(H121=5,Pondération!B$7*(A121-E121),0)))))</f>
        <v>0</v>
      </c>
      <c r="N121" s="34">
        <f t="shared" si="1"/>
        <v>0</v>
      </c>
      <c r="O121" s="34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34"/>
    </row>
    <row r="122" spans="1:42" ht="17.25" thickTop="1" thickBot="1" x14ac:dyDescent="0.25">
      <c r="A122" s="3"/>
      <c r="B122" s="3"/>
      <c r="C122" s="7" t="s">
        <v>129</v>
      </c>
      <c r="D122" s="5"/>
      <c r="E122" s="6"/>
      <c r="F122" s="34"/>
      <c r="G122" s="7" t="s">
        <v>129</v>
      </c>
      <c r="H122" s="14">
        <f>IF(Compos!A2="Udyr",1,IF(Compos!A3="Udyr",2,IF(Compos!A4="Udyr",3,IF(Compos!A5="Udyr",4,IF(Compos!A6="Udyr",5,0)))))</f>
        <v>0</v>
      </c>
      <c r="I122" s="14">
        <f>IF(Compos!D2="Udyr",1,IF(Compos!D3="Udyr",2,IF(Compos!D4="Udyr",3,IF(Compos!D5="Udyr",4,IF(Compos!D6="Udyr",5,0)))))</f>
        <v>0</v>
      </c>
      <c r="J122" s="34">
        <f>IF(I122=1,Pondération!B$3*(B122-D122),IF(I122=2,Pondération!B$4*(B122-D122),IF(I122=3,Pondération!B$5*(B122-D122),IF(I122=4,Pondération!B$6*(B122-D122),IF(I122=5,Pondération!B$7*(B122-D122),0)))))</f>
        <v>0</v>
      </c>
      <c r="K122" s="34">
        <f>IF(H122=5,Pondération!B$7*(A122-E122),0)</f>
        <v>0</v>
      </c>
      <c r="L122" s="34">
        <f>IF(I122=5,Pondération!B$7*(B122-D122),IF(I122=4,Pondération!B$6*(B122-D122),0))</f>
        <v>0</v>
      </c>
      <c r="M122" s="34">
        <f>IF(H122=1,Pondération!B$3*(A122-E122),IF(H122=2,Pondération!B$4*(A122-E122),IF(H122=3,Pondération!B$5*(A122-E122),IF(H122=4,Pondération!B$6*(A122-E122),IF(H122=5,Pondération!B$7*(A122-E122),0)))))</f>
        <v>0</v>
      </c>
      <c r="N122" s="34">
        <f t="shared" si="1"/>
        <v>0</v>
      </c>
      <c r="O122" s="34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34"/>
    </row>
    <row r="123" spans="1:42" ht="17.25" thickTop="1" thickBot="1" x14ac:dyDescent="0.25">
      <c r="A123" s="3"/>
      <c r="B123" s="3"/>
      <c r="C123" s="7" t="s">
        <v>130</v>
      </c>
      <c r="D123" s="5"/>
      <c r="E123" s="6"/>
      <c r="F123" s="34"/>
      <c r="G123" s="7" t="s">
        <v>130</v>
      </c>
      <c r="H123" s="14">
        <f>IF(Compos!A2="Urgot",1,IF(Compos!A3="Urgot",2,IF(Compos!A4="Urgot",3,IF(Compos!A5="Urgot",4,IF(Compos!A6="Urgot",5,0)))))</f>
        <v>0</v>
      </c>
      <c r="I123" s="14">
        <f>IF(Compos!D2="Urgot",1,IF(Compos!D3="Urgot",2,IF(Compos!D4="Urgot",3,IF(Compos!D5="Urgot",4,IF(Compos!D6="Urgot",5,0)))))</f>
        <v>0</v>
      </c>
      <c r="J123" s="34">
        <f>IF(I123=1,Pondération!B$3*(B123-D123),IF(I123=2,Pondération!B$4*(B123-D123),IF(I123=3,Pondération!B$5*(B123-D123),IF(I123=4,Pondération!B$6*(B123-D123),IF(I123=5,Pondération!B$7*(B123-D123),0)))))</f>
        <v>0</v>
      </c>
      <c r="K123" s="34">
        <f>IF(H123=5,Pondération!B$7*(A123-E123),0)</f>
        <v>0</v>
      </c>
      <c r="L123" s="34">
        <f>IF(I123=5,Pondération!B$7*(B123-D123),IF(I123=4,Pondération!B$6*(B123-D123),0))</f>
        <v>0</v>
      </c>
      <c r="M123" s="34">
        <f>IF(H123=1,Pondération!B$3*(A123-E123),IF(H123=2,Pondération!B$4*(A123-E123),IF(H123=3,Pondération!B$5*(A123-E123),IF(H123=4,Pondération!B$6*(A123-E123),IF(H123=5,Pondération!B$7*(A123-E123),0)))))</f>
        <v>0</v>
      </c>
      <c r="N123" s="34">
        <f t="shared" si="1"/>
        <v>0</v>
      </c>
      <c r="O123" s="34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34"/>
    </row>
    <row r="124" spans="1:42" ht="17.25" thickTop="1" thickBot="1" x14ac:dyDescent="0.25">
      <c r="A124" s="3"/>
      <c r="B124" s="3"/>
      <c r="C124" s="7" t="s">
        <v>131</v>
      </c>
      <c r="D124" s="5"/>
      <c r="E124" s="6"/>
      <c r="F124" s="34"/>
      <c r="G124" s="7" t="s">
        <v>131</v>
      </c>
      <c r="H124" s="14">
        <f>IF(Compos!A2="Varus",1,IF(Compos!A3="Varus",2,IF(Compos!A4="Varus",3,IF(Compos!A5="Varus",4,IF(Compos!A6="Varus",5,0)))))</f>
        <v>0</v>
      </c>
      <c r="I124" s="14">
        <f>IF(Compos!D2="Varus",1,IF(Compos!D3="Varus",2,IF(Compos!D4="Varus",3,IF(Compos!D5="Varus",4,IF(Compos!D6="Varus",5,0)))))</f>
        <v>0</v>
      </c>
      <c r="J124" s="34">
        <f>IF(I124=1,Pondération!B$3*(B124-D124),IF(I124=2,Pondération!B$4*(B124-D124),IF(I124=3,Pondération!B$5*(B124-D124),IF(I124=4,Pondération!B$6*(B124-D124),IF(I124=5,Pondération!B$7*(B124-D124),0)))))</f>
        <v>0</v>
      </c>
      <c r="K124" s="34">
        <f>IF(H124=5,Pondération!B$7*(A124-E124),0)</f>
        <v>0</v>
      </c>
      <c r="L124" s="34">
        <f>IF(I124=5,Pondération!B$7*(B124-D124),IF(I124=4,Pondération!B$6*(B124-D124),0))</f>
        <v>0</v>
      </c>
      <c r="M124" s="34">
        <f>IF(H124=1,Pondération!B$3*(A124-E124),IF(H124=2,Pondération!B$4*(A124-E124),IF(H124=3,Pondération!B$5*(A124-E124),IF(H124=4,Pondération!B$6*(A124-E124),IF(H124=5,Pondération!B$7*(A124-E124),0)))))</f>
        <v>0</v>
      </c>
      <c r="N124" s="34">
        <f t="shared" si="1"/>
        <v>0</v>
      </c>
      <c r="O124" s="34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34"/>
    </row>
    <row r="125" spans="1:42" ht="17.25" thickTop="1" thickBot="1" x14ac:dyDescent="0.25">
      <c r="A125" s="3"/>
      <c r="B125" s="3"/>
      <c r="C125" s="7" t="s">
        <v>132</v>
      </c>
      <c r="D125" s="5"/>
      <c r="E125" s="6"/>
      <c r="F125" s="34"/>
      <c r="G125" s="7" t="s">
        <v>132</v>
      </c>
      <c r="H125" s="14">
        <f>IF(Compos!A2="Vayne",1,IF(Compos!A3="Vayne",2,IF(Compos!A4="Vayne",3,IF(Compos!A5="Vayne",4,IF(Compos!A6="Vayne",5,0)))))</f>
        <v>0</v>
      </c>
      <c r="I125" s="14">
        <f>IF(Compos!D2="Vayne",1,IF(Compos!D3="Vayne",2,IF(Compos!D4="Vayne",3,IF(Compos!D5="Vayne",4,IF(Compos!D6="Vayne",5,0)))))</f>
        <v>0</v>
      </c>
      <c r="J125" s="34">
        <f>IF(I125=1,Pondération!B$3*(B125-D125),IF(I125=2,Pondération!B$4*(B125-D125),IF(I125=3,Pondération!B$5*(B125-D125),IF(I125=4,Pondération!B$6*(B125-D125),IF(I125=5,Pondération!B$7*(B125-D125),0)))))</f>
        <v>0</v>
      </c>
      <c r="K125" s="34">
        <f>IF(H125=5,Pondération!B$7*(A125-E125),0)</f>
        <v>0</v>
      </c>
      <c r="L125" s="34">
        <f>IF(I125=5,Pondération!B$7*(B125-D125),IF(I125=4,Pondération!B$6*(B125-D125),0))</f>
        <v>0</v>
      </c>
      <c r="M125" s="34">
        <f>IF(H125=1,Pondération!B$3*(A125-E125),IF(H125=2,Pondération!B$4*(A125-E125),IF(H125=3,Pondération!B$5*(A125-E125),IF(H125=4,Pondération!B$6*(A125-E125),IF(H125=5,Pondération!B$7*(A125-E125),0)))))</f>
        <v>0</v>
      </c>
      <c r="N125" s="34">
        <f t="shared" si="1"/>
        <v>0</v>
      </c>
      <c r="O125" s="34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34"/>
    </row>
    <row r="126" spans="1:42" ht="17.25" thickTop="1" thickBot="1" x14ac:dyDescent="0.25">
      <c r="A126" s="3"/>
      <c r="B126" s="3"/>
      <c r="C126" s="7" t="s">
        <v>133</v>
      </c>
      <c r="D126" s="5"/>
      <c r="E126" s="6"/>
      <c r="F126" s="34"/>
      <c r="G126" s="7" t="s">
        <v>133</v>
      </c>
      <c r="H126" s="14">
        <f>IF(OR(Compos!A2="Veigar",Compos!A2="Veig"),1,IF(OR(Compos!A3="Veigar",Compos!A3="Veig"),2,IF(OR(Compos!A4="Veigar",Compos!A4="Veig"),3,IF(OR(Compos!A5="Veigar",Compos!A5="Veig"),4,IF(OR(Compos!A6="Veigar",Compos!A6="Veig"),5,0)))))</f>
        <v>0</v>
      </c>
      <c r="I126" s="14">
        <f>IF(OR(Compos!D2="Veigar",Compos!D2="Veig"),1,IF(OR(Compos!D3="Veigar",Compos!D3="Veig"),2,IF(OR(Compos!D4="Veigar",Compos!D4="Veig"),3,IF(OR(Compos!D5="Veigar",Compos!D5="Veig"),4,IF(OR(Compos!D6="Veigar",Compos!D6="Veig"),5,0)))))</f>
        <v>0</v>
      </c>
      <c r="J126" s="34">
        <f>IF(I126=1,Pondération!B$3*(B126-D126),IF(I126=2,Pondération!B$4*(B126-D126),IF(I126=3,Pondération!B$5*(B126-D126),IF(I126=4,Pondération!B$6*(B126-D126),IF(I126=5,Pondération!B$7*(B126-D126),0)))))</f>
        <v>0</v>
      </c>
      <c r="K126" s="34">
        <f>IF(H126=5,Pondération!B$7*(A126-E126),0)</f>
        <v>0</v>
      </c>
      <c r="L126" s="34">
        <f>IF(I126=5,Pondération!B$7*(B126-D126),IF(I126=4,Pondération!B$6*(B126-D126),0))</f>
        <v>0</v>
      </c>
      <c r="M126" s="34">
        <f>IF(H126=1,Pondération!B$3*(A126-E126),IF(H126=2,Pondération!B$4*(A126-E126),IF(H126=3,Pondération!B$5*(A126-E126),IF(H126=4,Pondération!B$6*(A126-E126),IF(H126=5,Pondération!B$7*(A126-E126),0)))))</f>
        <v>0</v>
      </c>
      <c r="N126" s="34">
        <f t="shared" si="1"/>
        <v>0</v>
      </c>
      <c r="O126" s="34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34"/>
    </row>
    <row r="127" spans="1:42" ht="17.25" thickTop="1" thickBot="1" x14ac:dyDescent="0.25">
      <c r="A127" s="3"/>
      <c r="B127" s="3"/>
      <c r="C127" s="7" t="s">
        <v>134</v>
      </c>
      <c r="D127" s="5"/>
      <c r="E127" s="6"/>
      <c r="F127" s="34"/>
      <c r="G127" s="7" t="s">
        <v>134</v>
      </c>
      <c r="H127" s="14">
        <f>IF(OR(Compos!A2="Vel'Koz",Compos!A2="Vel",Compos!A2="Koz",Compos!A2="VK", Compos!A2="VelKoz",Compos!A2="Vel Koz",Compos!A2="Velk"),1,IF(OR(Compos!A3="Vel'Koz",Compos!A3="Vel",Compos!A3="Koz",Compos!A3="VK", Compos!A3="VelKoz",Compos!A3="Vel Koz",Compos!A3="Velk"),2,IF(OR(Compos!A4="Vel'Koz",Compos!A4="Vel",Compos!A4="Koz",Compos!A4="VK", Compos!A4="VelKoz",Compos!A4="Vel Koz",Compos!A4="Velk"),3,IF(OR(Compos!A5="Vel'Koz",Compos!A5="Vel",Compos!A5="Koz",Compos!A5="VK", Compos!A5="VelKoz",Compos!A5="Vel Koz",Compos!A5="Velk"),4,IF(OR(Compos!A6="Vel'Koz",Compos!A6="Vel",Compos!A6="Koz",Compos!A6="VK", Compos!A6="VelKoz",Compos!A6="Vel Koz",Compos!A6="Velk"),5,0)))))</f>
        <v>0</v>
      </c>
      <c r="I127" s="14">
        <f>IF(OR(Compos!D2="Vel'Koz",Compos!D2="Vel",Compos!D2="Koz",Compos!D2="VK", Compos!D2="VelKoz",Compos!D2="Vel Koz",Compos!D2="Velk"),1,IF(OR(Compos!D3="Vel'Koz",Compos!D3="Vel",Compos!D3="Koz",Compos!D3="VK", Compos!D3="VelKoz",Compos!D3="Vel Koz",Compos!D3="Velk"),2,IF(OR(Compos!D4="Vel'Koz",Compos!D4="Vel",Compos!D4="Koz",Compos!D4="VK", Compos!D4="VelKoz",Compos!D4="Vel Koz",Compos!D4="Velk"),3,IF(OR(Compos!D5="Vel'Koz",Compos!D5="Vel",Compos!D5="Koz",Compos!D5="VK", Compos!D5="VelKoz",Compos!D5="Vel Koz",Compos!D5="Velk"),4,IF(OR(Compos!D6="Vel'Koz",Compos!D6="Vel",Compos!D6="Koz",Compos!D6="VK", Compos!D6="VelKoz",Compos!D6="Vel Koz",Compos!D6="Velk"),5,0)))))</f>
        <v>0</v>
      </c>
      <c r="J127" s="34">
        <f>IF(I127=1,Pondération!B$3*(B127-D127),IF(I127=2,Pondération!B$4*(B127-D127),IF(I127=3,Pondération!B$5*(B127-D127),IF(I127=4,Pondération!B$6*(B127-D127),IF(I127=5,Pondération!B$7*(B127-D127),0)))))</f>
        <v>0</v>
      </c>
      <c r="K127" s="34">
        <f>IF(H127=5,Pondération!B$7*(A127-E127),0)</f>
        <v>0</v>
      </c>
      <c r="L127" s="34">
        <f>IF(I127=5,Pondération!B$7*(B127-D127),IF(I127=4,Pondération!B$6*(B127-D127),0))</f>
        <v>0</v>
      </c>
      <c r="M127" s="34">
        <f>IF(H127=1,Pondération!B$3*(A127-E127),IF(H127=2,Pondération!B$4*(A127-E127),IF(H127=3,Pondération!B$5*(A127-E127),IF(H127=4,Pondération!B$6*(A127-E127),IF(H127=5,Pondération!B$7*(A127-E127),0)))))</f>
        <v>0</v>
      </c>
      <c r="N127" s="34">
        <f t="shared" si="1"/>
        <v>0</v>
      </c>
      <c r="O127" s="34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34"/>
    </row>
    <row r="128" spans="1:42" ht="17.25" thickTop="1" thickBot="1" x14ac:dyDescent="0.25">
      <c r="A128" s="3"/>
      <c r="B128" s="3"/>
      <c r="C128" s="7" t="s">
        <v>135</v>
      </c>
      <c r="D128" s="5"/>
      <c r="E128" s="6"/>
      <c r="F128" s="34"/>
      <c r="G128" s="7" t="s">
        <v>135</v>
      </c>
      <c r="H128" s="14">
        <f>IF(Compos!A2="Vi",1,IF(Compos!A3="Vi",2,IF(Compos!A4="Vi",3,IF(Compos!A5="Vi",4,IF(Compos!A6="Vi",5,0)))))</f>
        <v>0</v>
      </c>
      <c r="I128" s="14">
        <f>IF(Compos!D2="Vi",1,IF(Compos!D3="Vi",2,IF(Compos!D4="Vi",3,IF(Compos!D5="Vi",4,IF(Compos!D6="Vi",5,0)))))</f>
        <v>0</v>
      </c>
      <c r="J128" s="34">
        <f>IF(I128=1,Pondération!B$3*(B128-D128),IF(I128=2,Pondération!B$4*(B128-D128),IF(I128=3,Pondération!B$5*(B128-D128),IF(I128=4,Pondération!B$6*(B128-D128),IF(I128=5,Pondération!B$7*(B128-D128),0)))))</f>
        <v>0</v>
      </c>
      <c r="K128" s="34">
        <f>IF(H128=5,Pondération!B$7*(A128-E128),0)</f>
        <v>0</v>
      </c>
      <c r="L128" s="34">
        <f>IF(I128=5,Pondération!B$7*(B128-D128),IF(I128=4,Pondération!B$6*(B128-D128),0))</f>
        <v>0</v>
      </c>
      <c r="M128" s="34">
        <f>IF(H128=1,Pondération!B$3*(A128-E128),IF(H128=2,Pondération!B$4*(A128-E128),IF(H128=3,Pondération!B$5*(A128-E128),IF(H128=4,Pondération!B$6*(A128-E128),IF(H128=5,Pondération!B$7*(A128-E128),0)))))</f>
        <v>0</v>
      </c>
      <c r="N128" s="34">
        <f t="shared" si="1"/>
        <v>0</v>
      </c>
      <c r="O128" s="34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34"/>
    </row>
    <row r="129" spans="1:42" ht="17.25" thickTop="1" thickBot="1" x14ac:dyDescent="0.25">
      <c r="A129" s="3"/>
      <c r="B129" s="3"/>
      <c r="C129" s="7" t="s">
        <v>136</v>
      </c>
      <c r="D129" s="5"/>
      <c r="E129" s="6"/>
      <c r="F129" s="34"/>
      <c r="G129" s="7" t="s">
        <v>136</v>
      </c>
      <c r="H129" s="14">
        <f>IF(OR(Compos!A2="Viktor",Compos!A2="Vik"),1,IF(OR(Compos!A3="Viktor",Compos!A3="Vik"),2,IF(OR(Compos!A4="Viktor",Compos!A4="Vik"),3,IF(OR(Compos!A5="Viktor",Compos!A5="Vik"),4,IF(OR(Compos!A6="Viktor",Compos!A6="Vik"),5,0)))))</f>
        <v>0</v>
      </c>
      <c r="I129" s="14">
        <f>IF(OR(Compos!D2="Viktor",Compos!D2="Vik"),1,IF(OR(Compos!D3="Viktor",Compos!D3="Vik"),2,IF(OR(Compos!D4="Viktor",Compos!D4="Vik"),3,IF(OR(Compos!D5="Viktor",Compos!D5="Vik"),4,IF(OR(Compos!D6="Viktor",Compos!D6="Vik"),5,0)))))</f>
        <v>0</v>
      </c>
      <c r="J129" s="34">
        <f>IF(I129=1,Pondération!B$3*(B129-D129),IF(I129=2,Pondération!B$4*(B129-D129),IF(I129=3,Pondération!B$5*(B129-D129),IF(I129=4,Pondération!B$6*(B129-D129),IF(I129=5,Pondération!B$7*(B129-D129),0)))))</f>
        <v>0</v>
      </c>
      <c r="K129" s="34">
        <f>IF(H129=5,Pondération!B$7*(A129-E129),0)</f>
        <v>0</v>
      </c>
      <c r="L129" s="34">
        <f>IF(I129=5,Pondération!B$7*(B129-D129),IF(I129=4,Pondération!B$6*(B129-D129),0))</f>
        <v>0</v>
      </c>
      <c r="M129" s="34">
        <f>IF(H129=1,Pondération!B$3*(A129-E129),IF(H129=2,Pondération!B$4*(A129-E129),IF(H129=3,Pondération!B$5*(A129-E129),IF(H129=4,Pondération!B$6*(A129-E129),IF(H129=5,Pondération!B$7*(A129-E129),0)))))</f>
        <v>0</v>
      </c>
      <c r="N129" s="34">
        <f t="shared" si="1"/>
        <v>0</v>
      </c>
      <c r="O129" s="34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34"/>
    </row>
    <row r="130" spans="1:42" ht="17.25" thickTop="1" thickBot="1" x14ac:dyDescent="0.25">
      <c r="A130" s="3"/>
      <c r="B130" s="3"/>
      <c r="C130" s="7" t="s">
        <v>137</v>
      </c>
      <c r="D130" s="5"/>
      <c r="E130" s="6"/>
      <c r="F130" s="34"/>
      <c r="G130" s="7" t="s">
        <v>137</v>
      </c>
      <c r="H130" s="14">
        <f>IF(OR(Compos!A2="Vladimir",Compos!A2="Vlad"),1,IF(OR(Compos!A3="Vladimir",Compos!A3="Vlad"),2,IF(OR(Compos!A4="Vladimir",Compos!A4="Vlad"),3,IF(OR(Compos!A5="Vladimir",Compos!A5="Vlad"),4,IF(OR(Compos!A6="Vladimir",Compos!A6="Vlad"),5,0)))))</f>
        <v>0</v>
      </c>
      <c r="I130" s="14">
        <f>IF(OR(Compos!D2="Vladimir",Compos!D2="Vlad"),1,IF(OR(Compos!D3="Vladimir",Compos!D3="Vlad"),2,IF(OR(Compos!D4="Vladimir",Compos!D4="Vlad"),3,IF(OR(Compos!D5="Vladimir",Compos!D5="Vlad"),4,IF(OR(Compos!D6="Vladimir",Compos!D6="Vlad"),5,0)))))</f>
        <v>0</v>
      </c>
      <c r="J130" s="34">
        <f>IF(I130=1,Pondération!B$3*(B130-D130),IF(I130=2,Pondération!B$4*(B130-D130),IF(I130=3,Pondération!B$5*(B130-D130),IF(I130=4,Pondération!B$6*(B130-D130),IF(I130=5,Pondération!B$7*(B130-D130),0)))))</f>
        <v>0</v>
      </c>
      <c r="K130" s="34">
        <f>IF(H130=5,Pondération!B$7*(A130-E130),0)</f>
        <v>0</v>
      </c>
      <c r="L130" s="34">
        <f>IF(I130=5,Pondération!B$7*(B130-D130),IF(I130=4,Pondération!B$6*(B130-D130),0))</f>
        <v>0</v>
      </c>
      <c r="M130" s="34">
        <f>IF(H130=1,Pondération!B$3*(A130-E130),IF(H130=2,Pondération!B$4*(A130-E130),IF(H130=3,Pondération!B$5*(A130-E130),IF(H130=4,Pondération!B$6*(A130-E130),IF(H130=5,Pondération!B$7*(A130-E130),0)))))</f>
        <v>0</v>
      </c>
      <c r="N130" s="34">
        <f t="shared" si="1"/>
        <v>0</v>
      </c>
      <c r="O130" s="34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34"/>
    </row>
    <row r="131" spans="1:42" ht="17.25" thickTop="1" thickBot="1" x14ac:dyDescent="0.25">
      <c r="A131" s="3"/>
      <c r="B131" s="3"/>
      <c r="C131" s="7" t="s">
        <v>138</v>
      </c>
      <c r="D131" s="5"/>
      <c r="E131" s="6"/>
      <c r="F131" s="34"/>
      <c r="G131" s="7" t="s">
        <v>138</v>
      </c>
      <c r="H131" s="14">
        <f>IF(OR(Compos!A2="Volibear",Compos!A2="Voli"),1,IF(OR(Compos!A3="Volibear",Compos!A3="Voli"),2,IF(OR(Compos!A4="Volibear",Compos!A4="Voli"),3,IF(OR(Compos!A5="Volibear",Compos!A5="Voli"),4,IF(OR(Compos!A6="Volibear",Compos!A6="Voli"),5,0)))))</f>
        <v>0</v>
      </c>
      <c r="I131" s="14">
        <f>IF(OR(Compos!D2="Volibear",Compos!D2="Voli"),1,IF(OR(Compos!D3="Volibear",Compos!D3="Voli"),2,IF(OR(Compos!D4="Volibear",Compos!D4="Voli"),3,IF(OR(Compos!D5="Volibear",Compos!D5="Voli"),4,IF(OR(Compos!D6="Volibear",Compos!D6="Voli"),5,0)))))</f>
        <v>0</v>
      </c>
      <c r="J131" s="34">
        <f>IF(I131=1,Pondération!B$3*(B131-D131),IF(I131=2,Pondération!B$4*(B131-D131),IF(I131=3,Pondération!B$5*(B131-D131),IF(I131=4,Pondération!B$6*(B131-D131),IF(I131=5,Pondération!B$7*(B131-D131),0)))))</f>
        <v>0</v>
      </c>
      <c r="K131" s="34">
        <f>IF(H131=5,Pondération!B$7*(A131-E131),0)</f>
        <v>0</v>
      </c>
      <c r="L131" s="34">
        <f>IF(I131=5,Pondération!B$7*(B131-D131),IF(I131=4,Pondération!B$6*(B131-D131),0))</f>
        <v>0</v>
      </c>
      <c r="M131" s="34">
        <f>IF(H131=1,Pondération!B$3*(A131-E131),IF(H131=2,Pondération!B$4*(A131-E131),IF(H131=3,Pondération!B$5*(A131-E131),IF(H131=4,Pondération!B$6*(A131-E131),IF(H131=5,Pondération!B$7*(A131-E131),0)))))</f>
        <v>0</v>
      </c>
      <c r="N131" s="34">
        <f t="shared" si="1"/>
        <v>0</v>
      </c>
      <c r="O131" s="34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34"/>
    </row>
    <row r="132" spans="1:42" ht="17.25" thickTop="1" thickBot="1" x14ac:dyDescent="0.25">
      <c r="A132" s="3"/>
      <c r="B132" s="3"/>
      <c r="C132" s="7" t="s">
        <v>139</v>
      </c>
      <c r="D132" s="5"/>
      <c r="E132" s="6"/>
      <c r="F132" s="34"/>
      <c r="G132" s="7" t="s">
        <v>139</v>
      </c>
      <c r="H132" s="14">
        <f>IF(OR(Compos!A2="Warwick",Compos!A2="WW",Compos!A2="Wawa"),1,IF(OR(Compos!A3="Warwick",Compos!A3="WW",Compos!A3="Wawa"),2,IF(OR(Compos!A4="Warwick",Compos!A4="WW",Compos!A4="Wawa"),3,IF(OR(Compos!A5="Warwick",Compos!A5="WW",Compos!A5="Wawa"),4,IF(OR(Compos!A6="Warwick",Compos!A6="WW",Compos!A6="Wawa"),5,0)))))</f>
        <v>0</v>
      </c>
      <c r="I132" s="14">
        <f>IF(OR(Compos!D2="Warwick",Compos!D2="WW",Compos!D2="Wawa"),1,IF(OR(Compos!D3="Warwick",Compos!D3="WW",Compos!D3="Wawa"),2,IF(OR(Compos!D4="Warwick",Compos!D4="WW",Compos!D4="Wawa"),3,IF(OR(Compos!D5="Warwick",Compos!D5="WW",Compos!D5="Wawa"),4,IF(OR(Compos!D6="Warwick",Compos!D6="WW",Compos!D6="Wawa"),5,0)))))</f>
        <v>0</v>
      </c>
      <c r="J132" s="34">
        <f>IF(I132=1,Pondération!B$3*(B132-D132),IF(I132=2,Pondération!B$4*(B132-D132),IF(I132=3,Pondération!B$5*(B132-D132),IF(I132=4,Pondération!B$6*(B132-D132),IF(I132=5,Pondération!B$7*(B132-D132),0)))))</f>
        <v>0</v>
      </c>
      <c r="K132" s="34">
        <f>IF(H132=5,Pondération!B$7*(A132-E132),0)</f>
        <v>0</v>
      </c>
      <c r="L132" s="34">
        <f>IF(I132=5,Pondération!B$7*(B132-D132),IF(I132=4,Pondération!B$6*(B132-D132),0))</f>
        <v>0</v>
      </c>
      <c r="M132" s="34">
        <f>IF(H132=1,Pondération!B$3*(A132-E132),IF(H132=2,Pondération!B$4*(A132-E132),IF(H132=3,Pondération!B$5*(A132-E132),IF(H132=4,Pondération!B$6*(A132-E132),IF(H132=5,Pondération!B$7*(A132-E132),0)))))</f>
        <v>0</v>
      </c>
      <c r="N132" s="34">
        <f t="shared" ref="N132:N144" si="2">D132+E132-B132-A132</f>
        <v>0</v>
      </c>
      <c r="O132" s="34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34"/>
    </row>
    <row r="133" spans="1:42" ht="17.25" thickTop="1" thickBot="1" x14ac:dyDescent="0.25">
      <c r="A133" s="3"/>
      <c r="B133" s="3"/>
      <c r="C133" s="7" t="s">
        <v>140</v>
      </c>
      <c r="D133" s="5"/>
      <c r="E133" s="6"/>
      <c r="F133" s="34"/>
      <c r="G133" s="7" t="s">
        <v>140</v>
      </c>
      <c r="H133" s="14">
        <f>IF(OR(Compos!A2="Wukong",Compos!A2="Wu"),1,IF(OR(Compos!A3="Wukong",Compos!A3="Wu"),2,IF(OR(Compos!A4="Wukong",Compos!A4="Wu"),3,IF(OR(Compos!A5="Wukong",Compos!A5="Wu"),4,IF(OR(Compos!A6="Wukong",Compos!A6="Wu"),5,0)))))</f>
        <v>0</v>
      </c>
      <c r="I133" s="14">
        <f>IF(OR(Compos!D2="Wukong",Compos!D2="Wu"),1,IF(OR(Compos!D3="Wukong",Compos!D3="Wu"),2,IF(OR(Compos!D4="Wukong",Compos!D4="Wu"),3,IF(OR(Compos!D5="Wukong",Compos!D5="Wu"),4,IF(OR(Compos!D6="Wukong",Compos!D6="Wu"),5,0)))))</f>
        <v>0</v>
      </c>
      <c r="J133" s="34">
        <f>IF(I133=1,Pondération!B$3*(B133-D133),IF(I133=2,Pondération!B$4*(B133-D133),IF(I133=3,Pondération!B$5*(B133-D133),IF(I133=4,Pondération!B$6*(B133-D133),IF(I133=5,Pondération!B$7*(B133-D133),0)))))</f>
        <v>0</v>
      </c>
      <c r="K133" s="34">
        <f>IF(H133=5,Pondération!B$7*(A133-E133),0)</f>
        <v>0</v>
      </c>
      <c r="L133" s="34">
        <f>IF(I133=5,Pondération!B$7*(B133-D133),IF(I133=4,Pondération!B$6*(B133-D133),0))</f>
        <v>0</v>
      </c>
      <c r="M133" s="34">
        <f>IF(H133=1,Pondération!B$3*(A133-E133),IF(H133=2,Pondération!B$4*(A133-E133),IF(H133=3,Pondération!B$5*(A133-E133),IF(H133=4,Pondération!B$6*(A133-E133),IF(H133=5,Pondération!B$7*(A133-E133),0)))))</f>
        <v>0</v>
      </c>
      <c r="N133" s="34">
        <f t="shared" si="2"/>
        <v>0</v>
      </c>
      <c r="O133" s="34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34"/>
    </row>
    <row r="134" spans="1:42" ht="17.25" thickTop="1" thickBot="1" x14ac:dyDescent="0.25">
      <c r="A134" s="3"/>
      <c r="B134" s="3"/>
      <c r="C134" s="7" t="s">
        <v>141</v>
      </c>
      <c r="D134" s="5"/>
      <c r="E134" s="6"/>
      <c r="F134" s="34"/>
      <c r="G134" s="7" t="s">
        <v>141</v>
      </c>
      <c r="H134" s="14">
        <f>IF(Compos!A2="Xayah",1,IF(Compos!A3="Xayah",2,IF(Compos!A4="Xayah",3,IF(Compos!A5="Xayah",4,IF(Compos!A6="Xayah",5,0)))))</f>
        <v>0</v>
      </c>
      <c r="I134" s="14">
        <f>IF(Compos!D2="Xayah",1,IF(Compos!D3="Xayah",2,IF(Compos!D4="Xayah",3,IF(Compos!D5="Xayah",4,IF(Compos!D6="Xayah",5,0)))))</f>
        <v>0</v>
      </c>
      <c r="J134" s="34">
        <f>IF(I134=1,Pondération!B$3*(B134-D134),IF(I134=2,Pondération!B$4*(B134-D134),IF(I134=3,Pondération!B$5*(B134-D134),IF(I134=4,Pondération!B$6*(B134-D134),IF(I134=5,Pondération!B$7*(B134-D134),0)))))</f>
        <v>0</v>
      </c>
      <c r="K134" s="34">
        <f>IF(H134=5,Pondération!B$7*(A134-E134),0)</f>
        <v>0</v>
      </c>
      <c r="L134" s="34">
        <f>IF(I134=5,Pondération!B$7*(B134-D134),IF(I134=4,Pondération!B$6*(B134-D134),0))</f>
        <v>0</v>
      </c>
      <c r="M134" s="34">
        <f>IF(H134=1,Pondération!B$3*(A134-E134),IF(H134=2,Pondération!B$4*(A134-E134),IF(H134=3,Pondération!B$5*(A134-E134),IF(H134=4,Pondération!B$6*(A134-E134),IF(H134=5,Pondération!B$7*(A134-E134),0)))))</f>
        <v>0</v>
      </c>
      <c r="N134" s="34">
        <f t="shared" si="2"/>
        <v>0</v>
      </c>
      <c r="O134" s="34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34"/>
    </row>
    <row r="135" spans="1:42" ht="17.25" thickTop="1" thickBot="1" x14ac:dyDescent="0.25">
      <c r="A135" s="3"/>
      <c r="B135" s="3"/>
      <c r="C135" s="7" t="s">
        <v>142</v>
      </c>
      <c r="D135" s="5"/>
      <c r="E135" s="6"/>
      <c r="F135" s="34"/>
      <c r="G135" s="7" t="s">
        <v>142</v>
      </c>
      <c r="H135" s="14">
        <f>IF(Compos!A2="Xerath",1,IF(Compos!A3="Xerath",2,IF(Compos!A4="Xerath",3,IF(Compos!A5="Xerath",4,IF(Compos!A6="Xerath",5,0)))))</f>
        <v>0</v>
      </c>
      <c r="I135" s="14">
        <f>IF(Compos!D2="Xerath",1,IF(Compos!D3="Xerath",2,IF(Compos!D4="Xerath",3,IF(Compos!D5="Xerath",4,IF(Compos!D6="Xerath",5,0)))))</f>
        <v>0</v>
      </c>
      <c r="J135" s="34">
        <f>IF(I135=1,Pondération!B$3*(B135-D135),IF(I135=2,Pondération!B$4*(B135-D135),IF(I135=3,Pondération!B$5*(B135-D135),IF(I135=4,Pondération!B$6*(B135-D135),IF(I135=5,Pondération!B$7*(B135-D135),0)))))</f>
        <v>0</v>
      </c>
      <c r="K135" s="34">
        <f>IF(H135=5,Pondération!B$7*(A135-E135),0)</f>
        <v>0</v>
      </c>
      <c r="L135" s="34">
        <f>IF(I135=5,Pondération!B$7*(B135-D135),IF(I135=4,Pondération!B$6*(B135-D135),0))</f>
        <v>0</v>
      </c>
      <c r="M135" s="34">
        <f>IF(H135=1,Pondération!B$3*(A135-E135),IF(H135=2,Pondération!B$4*(A135-E135),IF(H135=3,Pondération!B$5*(A135-E135),IF(H135=4,Pondération!B$6*(A135-E135),IF(H135=5,Pondération!B$7*(A135-E135),0)))))</f>
        <v>0</v>
      </c>
      <c r="N135" s="34">
        <f t="shared" si="2"/>
        <v>0</v>
      </c>
      <c r="O135" s="34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34"/>
    </row>
    <row r="136" spans="1:42" ht="17.25" thickTop="1" thickBot="1" x14ac:dyDescent="0.25">
      <c r="A136" s="3"/>
      <c r="B136" s="3"/>
      <c r="C136" s="7" t="s">
        <v>143</v>
      </c>
      <c r="D136" s="5"/>
      <c r="E136" s="6"/>
      <c r="F136" s="34"/>
      <c r="G136" s="7" t="s">
        <v>143</v>
      </c>
      <c r="H136" s="14">
        <f>IF(OR(Compos!A2="Xin Zhao",Compos!A2="Xin",Compos!A2="Zhao ",Compos!A2="XinZhao"),1,IF(OR(Compos!A3="Xin Zhao",Compos!A3="Xin",Compos!A3="Zhao ",Compos!A3="XinZhao"),2,IF(OR(Compos!A4="Xin Zhao",Compos!A4="Xin",Compos!A4="Zhao ",Compos!A4="XinZhao"),3,IF(OR(Compos!A5="Xin Zhao",Compos!A5="Xin",Compos!A5="Zhao ",Compos!A5="XinZhao"),4,IF(OR(Compos!A6="Xin Zhao",Compos!A6="Xin",Compos!A6="Zhao ",Compos!A6="XinZhao"),5,0)))))</f>
        <v>0</v>
      </c>
      <c r="I136" s="14">
        <f>IF(OR(Compos!D2="Xin Zhao",Compos!D2="Xin",Compos!D2="Zhao ",Compos!D2="XinZhao"),1,IF(OR(Compos!D3="Xin Zhao",Compos!D3="Xin",Compos!D3="Zhao ",Compos!D3="XinZhao"),2,IF(OR(Compos!D4="Xin Zhao",Compos!D4="Xin",Compos!D4="Zhao ",Compos!D4="XinZhao"),3,IF(OR(Compos!D5="Xin Zhao",Compos!D5="Xin",Compos!D5="Zhao ",Compos!D5="XinZhao"),4,IF(OR(Compos!D6="Xin Zhao",Compos!D6="Xin",Compos!D6="Zhao ",Compos!D6="XinZhao"),5,0)))))</f>
        <v>0</v>
      </c>
      <c r="J136" s="34">
        <f>IF(I136=1,Pondération!B$3*(B136-D136),IF(I136=2,Pondération!B$4*(B136-D136),IF(I136=3,Pondération!B$5*(B136-D136),IF(I136=4,Pondération!B$6*(B136-D136),IF(I136=5,Pondération!B$7*(B136-D136),0)))))</f>
        <v>0</v>
      </c>
      <c r="K136" s="34">
        <f>IF(H136=5,Pondération!B$7*(A136-E136),0)</f>
        <v>0</v>
      </c>
      <c r="L136" s="34">
        <f>IF(I136=5,Pondération!B$7*(B136-D136),IF(I136=4,Pondération!B$6*(B136-D136),0))</f>
        <v>0</v>
      </c>
      <c r="M136" s="34">
        <f>IF(H136=1,Pondération!B$3*(A136-E136),IF(H136=2,Pondération!B$4*(A136-E136),IF(H136=3,Pondération!B$5*(A136-E136),IF(H136=4,Pondération!B$6*(A136-E136),IF(H136=5,Pondération!B$7*(A136-E136),0)))))</f>
        <v>0</v>
      </c>
      <c r="N136" s="34">
        <f t="shared" si="2"/>
        <v>0</v>
      </c>
      <c r="O136" s="34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34"/>
    </row>
    <row r="137" spans="1:42" ht="17.25" thickTop="1" thickBot="1" x14ac:dyDescent="0.25">
      <c r="A137" s="3"/>
      <c r="B137" s="3"/>
      <c r="C137" s="7" t="s">
        <v>144</v>
      </c>
      <c r="D137" s="5"/>
      <c r="E137" s="6"/>
      <c r="F137" s="34"/>
      <c r="G137" s="7" t="s">
        <v>144</v>
      </c>
      <c r="H137" s="14">
        <f>IF(OR(Compos!A2="Yasuo",Compos!A2="Yas"),1,IF(OR(Compos!A3="Yasuo",Compos!A3="Yas"),2,IF(OR(Compos!A4="Yasuo",Compos!A4="Yas"),3,IF(OR(Compos!A5="Yasuo",Compos!A5="Yas"),4,IF(OR(Compos!A6="Yasuo",Compos!A6="Yas"),5,0)))))</f>
        <v>0</v>
      </c>
      <c r="I137" s="14">
        <f>IF(OR(Compos!D2="Yasuo",Compos!D2="Yas"),1,IF(OR(Compos!D3="Yasuo",Compos!D3="Yas"),2,IF(OR(Compos!D4="Yasuo",Compos!D4="Yas"),3,IF(OR(Compos!D5="Yasuo",Compos!D5="Yas"),4,IF(OR(Compos!D6="Yasuo",Compos!D6="Yas"),5,0)))))</f>
        <v>0</v>
      </c>
      <c r="J137" s="34">
        <f>IF(I137=1,Pondération!B$3*(B137-D137),IF(I137=2,Pondération!B$4*(B137-D137),IF(I137=3,Pondération!B$5*(B137-D137),IF(I137=4,Pondération!B$6*(B137-D137),IF(I137=5,Pondération!B$7*(B137-D137),0)))))</f>
        <v>0</v>
      </c>
      <c r="K137" s="34">
        <f>IF(H137=5,Pondération!B$7*(A137-E137),0)</f>
        <v>0</v>
      </c>
      <c r="L137" s="34">
        <f>IF(I137=5,Pondération!B$7*(B137-D137),IF(I137=4,Pondération!B$6*(B137-D137),0))</f>
        <v>0</v>
      </c>
      <c r="M137" s="34">
        <f>IF(H137=1,Pondération!B$3*(A137-E137),IF(H137=2,Pondération!B$4*(A137-E137),IF(H137=3,Pondération!B$5*(A137-E137),IF(H137=4,Pondération!B$6*(A137-E137),IF(H137=5,Pondération!B$7*(A137-E137),0)))))</f>
        <v>0</v>
      </c>
      <c r="N137" s="34">
        <f t="shared" si="2"/>
        <v>0</v>
      </c>
      <c r="O137" s="34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34"/>
    </row>
    <row r="138" spans="1:42" ht="17.25" thickTop="1" thickBot="1" x14ac:dyDescent="0.25">
      <c r="A138" s="3"/>
      <c r="B138" s="3"/>
      <c r="C138" s="7" t="s">
        <v>145</v>
      </c>
      <c r="D138" s="5"/>
      <c r="E138" s="6"/>
      <c r="F138" s="34"/>
      <c r="G138" s="7" t="s">
        <v>145</v>
      </c>
      <c r="H138" s="14">
        <f>IF(OR(Compos!A2="Yorick",Compos!A2="Yoyo"),1,IF(OR(Compos!A3="Yorick",Compos!A3="Yoyo"),2,IF(OR(Compos!A4="Yorick",Compos!A4="Yoyo"),3,IF(OR(Compos!A5="Yorick",Compos!A5="Yoyo"),4,IF(OR(Compos!A6="Yorick",Compos!A6="Yoyo"),5,0)))))</f>
        <v>0</v>
      </c>
      <c r="I138" s="14">
        <f>IF(OR(Compos!D2="Yorick",Compos!D2="Yoyo"),1,IF(OR(Compos!D3="Yorick",Compos!D3="Yoyo"),2,IF(OR(Compos!D4="Yorick",Compos!D4="Yoyo"),3,IF(OR(Compos!D5="Yorick",Compos!D5="Yoyo"),4,IF(OR(Compos!D6="Yorick",Compos!D6="Yoyo"),5,0)))))</f>
        <v>0</v>
      </c>
      <c r="J138" s="34">
        <f>IF(I138=1,Pondération!B$3*(B138-D138),IF(I138=2,Pondération!B$4*(B138-D138),IF(I138=3,Pondération!B$5*(B138-D138),IF(I138=4,Pondération!B$6*(B138-D138),IF(I138=5,Pondération!B$7*(B138-D138),0)))))</f>
        <v>0</v>
      </c>
      <c r="K138" s="34">
        <f>IF(H138=5,Pondération!B$7*(A138-E138),0)</f>
        <v>0</v>
      </c>
      <c r="L138" s="34">
        <f>IF(I138=5,Pondération!B$7*(B138-D138),IF(I138=4,Pondération!B$6*(B138-D138),0))</f>
        <v>0</v>
      </c>
      <c r="M138" s="34">
        <f>IF(H138=1,Pondération!B$3*(A138-E138),IF(H138=2,Pondération!B$4*(A138-E138),IF(H138=3,Pondération!B$5*(A138-E138),IF(H138=4,Pondération!B$6*(A138-E138),IF(H138=5,Pondération!B$7*(A138-E138),0)))))</f>
        <v>0</v>
      </c>
      <c r="N138" s="34">
        <f t="shared" si="2"/>
        <v>0</v>
      </c>
      <c r="O138" s="34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34"/>
    </row>
    <row r="139" spans="1:42" ht="17.25" thickTop="1" thickBot="1" x14ac:dyDescent="0.25">
      <c r="A139" s="3"/>
      <c r="B139" s="3"/>
      <c r="C139" s="7" t="s">
        <v>146</v>
      </c>
      <c r="D139" s="5"/>
      <c r="E139" s="6"/>
      <c r="F139" s="34"/>
      <c r="G139" s="7" t="s">
        <v>146</v>
      </c>
      <c r="H139" s="14">
        <f>IF(Compos!A2="Zac",1,IF(Compos!A3="Zac",2,IF(Compos!A4="Zac",3,IF(Compos!A5="Zac",4,IF(Compos!A6="Zac",5,0)))))</f>
        <v>0</v>
      </c>
      <c r="I139" s="14">
        <f>IF(Compos!D2="Zac",1,IF(Compos!D3="Zac",2,IF(Compos!D4="Zac",3,IF(Compos!D5="Zac",4,IF(Compos!D6="Zac",5,0)))))</f>
        <v>0</v>
      </c>
      <c r="J139" s="34">
        <f>IF(I139=1,Pondération!B$3*(B139-D139),IF(I139=2,Pondération!B$4*(B139-D139),IF(I139=3,Pondération!B$5*(B139-D139),IF(I139=4,Pondération!B$6*(B139-D139),IF(I139=5,Pondération!B$7*(B139-D139),0)))))</f>
        <v>0</v>
      </c>
      <c r="K139" s="34">
        <f>IF(H139=5,Pondération!B$7*(A139-E139),0)</f>
        <v>0</v>
      </c>
      <c r="L139" s="34">
        <f>IF(I139=5,Pondération!B$7*(B139-D139),IF(I139=4,Pondération!B$6*(B139-D139),0))</f>
        <v>0</v>
      </c>
      <c r="M139" s="34">
        <f>IF(H139=1,Pondération!B$3*(A139-E139),IF(H139=2,Pondération!B$4*(A139-E139),IF(H139=3,Pondération!B$5*(A139-E139),IF(H139=4,Pondération!B$6*(A139-E139),IF(H139=5,Pondération!B$7*(A139-E139),0)))))</f>
        <v>0</v>
      </c>
      <c r="N139" s="34">
        <f t="shared" si="2"/>
        <v>0</v>
      </c>
      <c r="O139" s="34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34"/>
    </row>
    <row r="140" spans="1:42" ht="17.25" thickTop="1" thickBot="1" x14ac:dyDescent="0.25">
      <c r="A140" s="3"/>
      <c r="B140" s="3"/>
      <c r="C140" s="7" t="s">
        <v>147</v>
      </c>
      <c r="D140" s="5"/>
      <c r="E140" s="6"/>
      <c r="F140" s="34"/>
      <c r="G140" s="7" t="s">
        <v>147</v>
      </c>
      <c r="H140" s="14">
        <f>IF(Compos!A2="Zed",1,IF(Compos!A3="Zed",2,IF(Compos!A4="Zed",3,IF(Compos!A5="Zed",4,IF(Compos!A6="Zed",5,0)))))</f>
        <v>0</v>
      </c>
      <c r="I140" s="14">
        <f>IF(Compos!D2="Zed",1,IF(Compos!D3="Zed",2,IF(Compos!D4="Zed",3,IF(Compos!D5="Zed",4,IF(Compos!D6="Zed",5,0)))))</f>
        <v>0</v>
      </c>
      <c r="J140" s="34">
        <f>IF(I140=1,Pondération!B$3*(B140-D140),IF(I140=2,Pondération!B$4*(B140-D140),IF(I140=3,Pondération!B$5*(B140-D140),IF(I140=4,Pondération!B$6*(B140-D140),IF(I140=5,Pondération!B$7*(B140-D140),0)))))</f>
        <v>0</v>
      </c>
      <c r="K140" s="34">
        <f>IF(H140=5,Pondération!B$7*(A140-E140),0)</f>
        <v>0</v>
      </c>
      <c r="L140" s="34">
        <f>IF(I140=5,Pondération!B$7*(B140-D140),IF(I140=4,Pondération!B$6*(B140-D140),0))</f>
        <v>0</v>
      </c>
      <c r="M140" s="34">
        <f>IF(H140=1,Pondération!B$3*(A140-E140),IF(H140=2,Pondération!B$4*(A140-E140),IF(H140=3,Pondération!B$5*(A140-E140),IF(H140=4,Pondération!B$6*(A140-E140),IF(H140=5,Pondération!B$7*(A140-E140),0)))))</f>
        <v>0</v>
      </c>
      <c r="N140" s="34">
        <f t="shared" si="2"/>
        <v>0</v>
      </c>
      <c r="O140" s="34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34"/>
    </row>
    <row r="141" spans="1:42" ht="17.25" thickTop="1" thickBot="1" x14ac:dyDescent="0.25">
      <c r="A141" s="3"/>
      <c r="B141" s="3"/>
      <c r="C141" s="7" t="s">
        <v>148</v>
      </c>
      <c r="D141" s="5"/>
      <c r="E141" s="6"/>
      <c r="F141" s="34"/>
      <c r="G141" s="7" t="s">
        <v>148</v>
      </c>
      <c r="H141" s="14">
        <f>IF(Compos!A2="Ziggs",1,IF(Compos!A3="Ziggs",2,IF(Compos!A4="Ziggs",3,IF(Compos!A5="Ziggs",4,IF(Compos!A6="Ziggs",5,0)))))</f>
        <v>0</v>
      </c>
      <c r="I141" s="14">
        <f>IF(Compos!D2="Ziggs",1,IF(Compos!D3="Ziggs",2,IF(Compos!D4="Ziggs",3,IF(Compos!D5="Ziggs",4,IF(Compos!D6="Ziggs",5,0)))))</f>
        <v>0</v>
      </c>
      <c r="J141" s="34">
        <f>IF(I141=1,Pondération!B$3*(B141-D141),IF(I141=2,Pondération!B$4*(B141-D141),IF(I141=3,Pondération!B$5*(B141-D141),IF(I141=4,Pondération!B$6*(B141-D141),IF(I141=5,Pondération!B$7*(B141-D141),0)))))</f>
        <v>0</v>
      </c>
      <c r="K141" s="34">
        <f>IF(H141=5,Pondération!B$7*(A141-E141),0)</f>
        <v>0</v>
      </c>
      <c r="L141" s="34">
        <f>IF(I141=5,Pondération!B$7*(B141-D141),IF(I141=4,Pondération!B$6*(B141-D141),0))</f>
        <v>0</v>
      </c>
      <c r="M141" s="34">
        <f>IF(H141=1,Pondération!B$3*(A141-E141),IF(H141=2,Pondération!B$4*(A141-E141),IF(H141=3,Pondération!B$5*(A141-E141),IF(H141=4,Pondération!B$6*(A141-E141),IF(H141=5,Pondération!B$7*(A141-E141),0)))))</f>
        <v>0</v>
      </c>
      <c r="N141" s="34">
        <f t="shared" si="2"/>
        <v>0</v>
      </c>
      <c r="O141" s="34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34"/>
    </row>
    <row r="142" spans="1:42" ht="17.25" thickTop="1" thickBot="1" x14ac:dyDescent="0.25">
      <c r="A142" s="3"/>
      <c r="B142" s="3"/>
      <c r="C142" s="7" t="s">
        <v>149</v>
      </c>
      <c r="D142" s="5"/>
      <c r="E142" s="6"/>
      <c r="F142" s="34"/>
      <c r="G142" s="7" t="s">
        <v>149</v>
      </c>
      <c r="H142" s="14">
        <f>IF(OR(Compos!A2="Zilean",Compos!A2="Zil"),1,IF(OR(Compos!A3="Zilean",Compos!A3="Zil"),2,IF(OR(Compos!A4="Zilean",Compos!A4="Zil"),3,IF(OR(Compos!A5="Zilean",Compos!A5="Zil"),4,IF(OR(Compos!A6="Zilean",Compos!A6="Zil"),5,0)))))</f>
        <v>0</v>
      </c>
      <c r="I142" s="14">
        <f>IF(OR(Compos!D2="Zilean",Compos!D2="Zil"),1,IF(OR(Compos!D3="Zilean",Compos!D3="Zil"),2,IF(OR(Compos!D4="Zilean",Compos!D4="Zil"),3,IF(OR(Compos!D5="Zilean",Compos!D5="Zil"),4,IF(OR(Compos!D6="Zilean",Compos!D6="Zil"),5,0)))))</f>
        <v>0</v>
      </c>
      <c r="J142" s="34">
        <f>IF(I142=1,Pondération!B$3*(B142-D142),IF(I142=2,Pondération!B$4*(B142-D142),IF(I142=3,Pondération!B$5*(B142-D142),IF(I142=4,Pondération!B$6*(B142-D142),IF(I142=5,Pondération!B$7*(B142-D142),0)))))</f>
        <v>0</v>
      </c>
      <c r="K142" s="34">
        <f>IF(H142=5,Pondération!B$7*(A142-E142),0)</f>
        <v>0</v>
      </c>
      <c r="L142" s="34">
        <f>IF(I142=5,Pondération!B$7*(B142-D142),IF(I142=4,Pondération!B$6*(B142-D142),0))</f>
        <v>0</v>
      </c>
      <c r="M142" s="34">
        <f>IF(H142=1,Pondération!B$3*(A142-E142),IF(H142=2,Pondération!B$4*(A142-E142),IF(H142=3,Pondération!B$5*(A142-E142),IF(H142=4,Pondération!B$6*(A142-E142),IF(H142=5,Pondération!B$7*(A142-E142),0)))))</f>
        <v>0</v>
      </c>
      <c r="N142" s="34">
        <f t="shared" si="2"/>
        <v>0</v>
      </c>
      <c r="O142" s="34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34"/>
    </row>
    <row r="143" spans="1:42" ht="17.25" thickTop="1" thickBot="1" x14ac:dyDescent="0.25">
      <c r="A143" s="3"/>
      <c r="B143" s="3"/>
      <c r="C143" s="7" t="s">
        <v>150</v>
      </c>
      <c r="D143" s="5"/>
      <c r="E143" s="6"/>
      <c r="F143" s="34"/>
      <c r="G143" s="7" t="s">
        <v>150</v>
      </c>
      <c r="H143" s="14">
        <f>IF(OR(Compos!A2="Zoé",Compos!A2="Zoe"),1,IF(OR(Compos!A3="Zoé",Compos!A3="Zoe"),2,IF(OR(Compos!A4="Zoé",Compos!A4="Zoe"),3,IF(OR(Compos!A5="Zoé",Compos!A5="Zoe"),4,IF(OR(Compos!A6="Zoé",Compos!A6="Zoe"),5,0)))))</f>
        <v>0</v>
      </c>
      <c r="I143" s="14">
        <f>IF(OR(Compos!D2="Zoé",Compos!D2="Zoe"),1,IF(OR(Compos!D3="Zoé",Compos!D3="Zoe"),2,IF(OR(Compos!D4="Zoé",Compos!D4="Zoe"),3,IF(OR(Compos!D5="Zoé",Compos!D5="Zoe"),4,IF(OR(Compos!D6="Zoé",Compos!D6="Zoe"),5,0)))))</f>
        <v>0</v>
      </c>
      <c r="J143" s="34">
        <f>IF(I143=1,Pondération!B$3*(B143-D143),IF(I143=2,Pondération!B$4*(B143-D143),IF(I143=3,Pondération!B$5*(B143-D143),IF(I143=4,Pondération!B$6*(B143-D143),IF(I143=5,Pondération!B$7*(B143-D143),0)))))</f>
        <v>0</v>
      </c>
      <c r="K143" s="34">
        <f>IF(H143=5,Pondération!B$7*(A143-E143),0)</f>
        <v>0</v>
      </c>
      <c r="L143" s="34">
        <f>IF(I143=5,Pondération!B$7*(B143-D143),IF(I143=4,Pondération!B$6*(B143-D143),0))</f>
        <v>0</v>
      </c>
      <c r="M143" s="34">
        <f>IF(H143=1,Pondération!B$3*(A143-E143),IF(H143=2,Pondération!B$4*(A143-E143),IF(H143=3,Pondération!B$5*(A143-E143),IF(H143=4,Pondération!B$6*(A143-E143),IF(H143=5,Pondération!B$7*(A143-E143),0)))))</f>
        <v>0</v>
      </c>
      <c r="N143" s="34">
        <f t="shared" si="2"/>
        <v>0</v>
      </c>
      <c r="O143" s="34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34"/>
    </row>
    <row r="144" spans="1:42" ht="15.75" customHeight="1" thickTop="1" thickBot="1" x14ac:dyDescent="0.25">
      <c r="A144" s="3"/>
      <c r="B144" s="3"/>
      <c r="C144" s="7" t="s">
        <v>151</v>
      </c>
      <c r="D144" s="5"/>
      <c r="E144" s="6"/>
      <c r="F144" s="34"/>
      <c r="G144" s="7" t="s">
        <v>151</v>
      </c>
      <c r="H144" s="14">
        <f>IF(Compos!A2="Zyra",1,IF(Compos!A3="Zyra",2,IF(Compos!A4="Zyra",3,IF(Compos!A5="Zyra",4,IF(Compos!A6="Zyra",5,0)))))</f>
        <v>0</v>
      </c>
      <c r="I144" s="14">
        <f>IF(Compos!D2="Zyra",1,IF(Compos!D3="Zyra",2,IF(Compos!D4="Zyra",3,IF(Compos!D5="Zyra",4,IF(Compos!D6="Zyra",5,0)))))</f>
        <v>0</v>
      </c>
      <c r="J144" s="34">
        <f>IF(I144=1,Pondération!B$3*(B144-D144),IF(I144=2,Pondération!B$4*(B144-D144),IF(I144=3,Pondération!B$5*(B144-D144),IF(I144=4,Pondération!B$6*(B144-D144),IF(I144=5,Pondération!B$7*(B144-D144),0)))))</f>
        <v>0</v>
      </c>
      <c r="K144" s="34">
        <f>IF(H144=5,Pondération!B$7*(A144-E144),0)</f>
        <v>0</v>
      </c>
      <c r="L144" s="34">
        <f>IF(I144=5,Pondération!B$7*(B144-D144),IF(I144=4,Pondération!B$6*(B144-D144),0))</f>
        <v>0</v>
      </c>
      <c r="M144" s="34">
        <f>IF(H144=1,Pondération!B$3*(A144-E144),IF(H144=2,Pondération!B$4*(A144-E144),IF(H144=3,Pondération!B$5*(A144-E144),IF(H144=4,Pondération!B$6*(A144-E144),IF(H144=5,Pondération!B$7*(A144-E144),0)))))</f>
        <v>0</v>
      </c>
      <c r="N144" s="34">
        <f t="shared" si="2"/>
        <v>0</v>
      </c>
      <c r="O144" s="34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34"/>
    </row>
    <row r="145" spans="1:42" ht="15.7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</row>
    <row r="146" spans="1:42" ht="12.75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>
        <f>SUM(J2:J144)*Pondération!B2</f>
        <v>0</v>
      </c>
      <c r="K146" s="34">
        <f>SUM(K2:K144)*Pondération!B1</f>
        <v>0</v>
      </c>
      <c r="L146" s="34">
        <f>SUM(L2:L144)*Pondération!B2</f>
        <v>0</v>
      </c>
      <c r="M146" s="34">
        <f>SUM(M2:M144)*Pondération!B1</f>
        <v>0</v>
      </c>
      <c r="N146" s="34"/>
      <c r="O146" s="34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</row>
    <row r="147" spans="1:42" ht="15.7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</row>
    <row r="148" spans="1:42" ht="15.7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</row>
    <row r="149" spans="1:42" ht="15.7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</row>
    <row r="150" spans="1:42" ht="15.7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</row>
    <row r="151" spans="1:42" ht="15.7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</row>
    <row r="152" spans="1:42" ht="15.7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</row>
    <row r="153" spans="1:42" ht="15.7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</row>
    <row r="154" spans="1:42" ht="15.7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</row>
    <row r="155" spans="1:42" ht="15.7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</row>
    <row r="156" spans="1:42" ht="15.7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</row>
    <row r="157" spans="1:42" ht="15.7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</row>
    <row r="158" spans="1:42" ht="15.7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</row>
    <row r="159" spans="1:42" ht="15.7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</row>
    <row r="160" spans="1:42" ht="15.7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</row>
    <row r="161" spans="1:38" ht="15.75" customHeight="1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20"/>
    </row>
    <row r="162" spans="1:38" ht="15.75" customHeight="1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</row>
    <row r="163" spans="1:38" ht="15.75" customHeight="1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</row>
    <row r="164" spans="1:38" ht="15.75" customHeight="1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</row>
    <row r="165" spans="1:38" ht="15.75" customHeight="1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</row>
    <row r="166" spans="1:38" ht="15.75" customHeight="1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20"/>
    </row>
    <row r="167" spans="1:38" ht="15.75" customHeight="1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20"/>
    </row>
    <row r="168" spans="1:38" ht="15.75" customHeight="1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20"/>
    </row>
    <row r="169" spans="1:38" ht="15.75" customHeight="1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ht="15.75" customHeight="1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ht="15.75" customHeight="1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ht="15.75" customHeight="1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ht="15.75" customHeight="1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ht="15.75" customHeight="1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  <row r="175" spans="1:38" ht="15.75" customHeight="1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  <c r="AL175" s="20"/>
    </row>
    <row r="176" spans="1:38" ht="15.75" customHeight="1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  <c r="AL176" s="20"/>
    </row>
    <row r="177" spans="1:38" ht="15.75" customHeight="1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  <c r="AL177" s="20"/>
    </row>
    <row r="178" spans="1:38" ht="15.75" customHeight="1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  <c r="AL178" s="20"/>
    </row>
    <row r="179" spans="1:38" ht="15.75" customHeight="1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  <c r="AL179" s="20"/>
    </row>
    <row r="180" spans="1:38" ht="15.75" customHeight="1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  <c r="AL180" s="20"/>
    </row>
    <row r="181" spans="1:38" ht="15.75" customHeight="1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  <c r="AL181" s="20"/>
    </row>
    <row r="182" spans="1:38" ht="15.75" customHeight="1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  <c r="AL182" s="20"/>
    </row>
    <row r="183" spans="1:38" ht="15.75" customHeight="1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  <c r="AH183" s="20"/>
      <c r="AI183" s="20"/>
      <c r="AJ183" s="20"/>
      <c r="AK183" s="20"/>
      <c r="AL183" s="20"/>
    </row>
    <row r="184" spans="1:38" ht="15.75" customHeight="1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  <c r="AH184" s="20"/>
      <c r="AI184" s="20"/>
      <c r="AJ184" s="20"/>
      <c r="AK184" s="20"/>
      <c r="AL184" s="20"/>
    </row>
    <row r="185" spans="1:38" ht="15.75" customHeight="1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</row>
    <row r="186" spans="1:38" ht="15.75" customHeight="1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  <c r="AH186" s="20"/>
      <c r="AI186" s="20"/>
      <c r="AJ186" s="20"/>
      <c r="AK186" s="20"/>
      <c r="AL186" s="20"/>
    </row>
    <row r="187" spans="1:38" ht="15.75" customHeight="1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  <c r="AH187" s="20"/>
      <c r="AI187" s="20"/>
      <c r="AJ187" s="20"/>
      <c r="AK187" s="20"/>
      <c r="AL187" s="20"/>
    </row>
    <row r="188" spans="1:38" ht="15.75" customHeight="1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20"/>
      <c r="AI188" s="20"/>
      <c r="AJ188" s="20"/>
      <c r="AK188" s="20"/>
      <c r="AL188" s="20"/>
    </row>
    <row r="189" spans="1:38" ht="15.75" customHeight="1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  <c r="AH189" s="20"/>
      <c r="AI189" s="20"/>
      <c r="AJ189" s="20"/>
      <c r="AK189" s="20"/>
      <c r="AL189" s="20"/>
    </row>
    <row r="190" spans="1:38" ht="15.75" customHeight="1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  <c r="AH190" s="20"/>
      <c r="AI190" s="20"/>
      <c r="AJ190" s="20"/>
      <c r="AK190" s="20"/>
      <c r="AL190" s="20"/>
    </row>
    <row r="191" spans="1:38" ht="15.75" customHeight="1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  <c r="AH191" s="20"/>
      <c r="AI191" s="20"/>
      <c r="AJ191" s="20"/>
      <c r="AK191" s="20"/>
      <c r="AL191" s="20"/>
    </row>
    <row r="192" spans="1:38" ht="15.75" customHeight="1" x14ac:dyDescent="0.2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  <c r="AH192" s="20"/>
      <c r="AI192" s="20"/>
      <c r="AJ192" s="20"/>
      <c r="AK192" s="20"/>
      <c r="AL192" s="20"/>
    </row>
    <row r="193" spans="1:38" ht="15.75" customHeight="1" x14ac:dyDescent="0.2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  <c r="AH193" s="20"/>
      <c r="AI193" s="20"/>
      <c r="AJ193" s="20"/>
      <c r="AK193" s="20"/>
      <c r="AL193" s="20"/>
    </row>
    <row r="194" spans="1:38" ht="15.75" customHeight="1" x14ac:dyDescent="0.2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  <c r="AH194" s="20"/>
      <c r="AI194" s="20"/>
      <c r="AJ194" s="20"/>
      <c r="AK194" s="20"/>
      <c r="AL194" s="20"/>
    </row>
    <row r="195" spans="1:38" ht="15.75" customHeight="1" x14ac:dyDescent="0.2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  <c r="AH195" s="20"/>
      <c r="AI195" s="20"/>
      <c r="AJ195" s="20"/>
      <c r="AK195" s="20"/>
      <c r="AL195" s="20"/>
    </row>
    <row r="196" spans="1:38" ht="15.75" customHeight="1" x14ac:dyDescent="0.2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  <c r="AH196" s="20"/>
      <c r="AI196" s="20"/>
      <c r="AJ196" s="20"/>
      <c r="AK196" s="20"/>
      <c r="AL196" s="20"/>
    </row>
    <row r="197" spans="1:38" ht="15.75" customHeight="1" x14ac:dyDescent="0.2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  <c r="AH197" s="20"/>
      <c r="AI197" s="20"/>
      <c r="AJ197" s="20"/>
      <c r="AK197" s="20"/>
      <c r="AL197" s="20"/>
    </row>
    <row r="198" spans="1:38" ht="15.75" customHeight="1" x14ac:dyDescent="0.2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  <c r="AH198" s="20"/>
      <c r="AI198" s="20"/>
      <c r="AJ198" s="20"/>
      <c r="AK198" s="20"/>
      <c r="AL198" s="20"/>
    </row>
    <row r="199" spans="1:38" ht="15.75" customHeight="1" x14ac:dyDescent="0.2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  <c r="AH199" s="20"/>
      <c r="AI199" s="20"/>
      <c r="AJ199" s="20"/>
      <c r="AK199" s="20"/>
      <c r="AL199" s="20"/>
    </row>
    <row r="200" spans="1:38" ht="15.75" customHeight="1" x14ac:dyDescent="0.2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  <c r="AH200" s="20"/>
      <c r="AI200" s="20"/>
      <c r="AJ200" s="20"/>
      <c r="AK200" s="20"/>
      <c r="AL200" s="20"/>
    </row>
    <row r="201" spans="1:38" ht="15.75" customHeight="1" x14ac:dyDescent="0.2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  <c r="AH201" s="20"/>
      <c r="AI201" s="20"/>
      <c r="AJ201" s="20"/>
      <c r="AK201" s="20"/>
      <c r="AL201" s="20"/>
    </row>
    <row r="202" spans="1:38" ht="15.75" customHeight="1" x14ac:dyDescent="0.2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  <c r="AH202" s="20"/>
      <c r="AI202" s="20"/>
      <c r="AJ202" s="20"/>
      <c r="AK202" s="20"/>
      <c r="AL202" s="20"/>
    </row>
    <row r="203" spans="1:38" ht="15.75" customHeight="1" x14ac:dyDescent="0.2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  <c r="AH203" s="20"/>
      <c r="AI203" s="20"/>
      <c r="AJ203" s="20"/>
      <c r="AK203" s="20"/>
      <c r="AL203" s="20"/>
    </row>
    <row r="204" spans="1:38" ht="15.75" customHeight="1" x14ac:dyDescent="0.2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  <c r="AH204" s="20"/>
      <c r="AI204" s="20"/>
      <c r="AJ204" s="20"/>
      <c r="AK204" s="20"/>
      <c r="AL204" s="20"/>
    </row>
    <row r="205" spans="1:38" ht="15.75" customHeight="1" x14ac:dyDescent="0.2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  <c r="AH205" s="20"/>
      <c r="AI205" s="20"/>
      <c r="AJ205" s="20"/>
      <c r="AK205" s="20"/>
      <c r="AL205" s="20"/>
    </row>
    <row r="206" spans="1:38" ht="15.75" customHeight="1" x14ac:dyDescent="0.2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  <c r="AH206" s="20"/>
      <c r="AI206" s="20"/>
      <c r="AJ206" s="20"/>
      <c r="AK206" s="20"/>
      <c r="AL206" s="20"/>
    </row>
    <row r="207" spans="1:38" ht="15.75" customHeight="1" x14ac:dyDescent="0.2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  <c r="AH207" s="20"/>
      <c r="AI207" s="20"/>
      <c r="AJ207" s="20"/>
      <c r="AK207" s="20"/>
      <c r="AL207" s="20"/>
    </row>
    <row r="208" spans="1:38" ht="15.75" customHeight="1" x14ac:dyDescent="0.2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  <c r="AH208" s="20"/>
      <c r="AI208" s="20"/>
      <c r="AJ208" s="20"/>
      <c r="AK208" s="20"/>
      <c r="AL208" s="20"/>
    </row>
    <row r="209" spans="1:38" ht="15.75" customHeight="1" x14ac:dyDescent="0.2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  <c r="AH209" s="20"/>
      <c r="AI209" s="20"/>
      <c r="AJ209" s="20"/>
      <c r="AK209" s="20"/>
      <c r="AL209" s="20"/>
    </row>
    <row r="210" spans="1:38" ht="15.75" customHeight="1" x14ac:dyDescent="0.2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  <c r="AH210" s="20"/>
      <c r="AI210" s="20"/>
      <c r="AJ210" s="20"/>
      <c r="AK210" s="20"/>
      <c r="AL210" s="20"/>
    </row>
    <row r="211" spans="1:38" ht="15.75" customHeight="1" x14ac:dyDescent="0.2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  <c r="AH211" s="20"/>
      <c r="AI211" s="20"/>
      <c r="AJ211" s="20"/>
      <c r="AK211" s="20"/>
      <c r="AL211" s="20"/>
    </row>
    <row r="212" spans="1:38" ht="15.75" customHeight="1" x14ac:dyDescent="0.2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  <c r="AH212" s="20"/>
      <c r="AI212" s="20"/>
      <c r="AJ212" s="20"/>
      <c r="AK212" s="20"/>
      <c r="AL212" s="20"/>
    </row>
    <row r="213" spans="1:38" ht="15.75" customHeight="1" x14ac:dyDescent="0.2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  <c r="AH213" s="20"/>
      <c r="AI213" s="20"/>
      <c r="AJ213" s="20"/>
      <c r="AK213" s="20"/>
      <c r="AL213" s="20"/>
    </row>
    <row r="214" spans="1:38" ht="15.75" customHeight="1" x14ac:dyDescent="0.2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  <c r="AH214" s="20"/>
      <c r="AI214" s="20"/>
      <c r="AJ214" s="20"/>
      <c r="AK214" s="20"/>
      <c r="AL214" s="20"/>
    </row>
    <row r="215" spans="1:38" ht="15.75" customHeight="1" x14ac:dyDescent="0.2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  <c r="AH215" s="20"/>
      <c r="AI215" s="20"/>
      <c r="AJ215" s="20"/>
      <c r="AK215" s="20"/>
      <c r="AL215" s="20"/>
    </row>
    <row r="216" spans="1:38" ht="15.75" customHeight="1" x14ac:dyDescent="0.2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  <c r="AH216" s="20"/>
      <c r="AI216" s="20"/>
      <c r="AJ216" s="20"/>
      <c r="AK216" s="20"/>
      <c r="AL216" s="20"/>
    </row>
    <row r="217" spans="1:38" ht="15.75" customHeight="1" x14ac:dyDescent="0.2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  <c r="AH217" s="20"/>
      <c r="AI217" s="20"/>
      <c r="AJ217" s="20"/>
      <c r="AK217" s="20"/>
      <c r="AL217" s="20"/>
    </row>
    <row r="218" spans="1:38" ht="15.75" customHeight="1" x14ac:dyDescent="0.2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  <c r="AH218" s="20"/>
      <c r="AI218" s="20"/>
      <c r="AJ218" s="20"/>
      <c r="AK218" s="20"/>
      <c r="AL218" s="20"/>
    </row>
    <row r="219" spans="1:38" ht="15.75" customHeight="1" x14ac:dyDescent="0.2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  <c r="AH219" s="20"/>
      <c r="AI219" s="20"/>
      <c r="AJ219" s="20"/>
      <c r="AK219" s="20"/>
      <c r="AL219" s="20"/>
    </row>
    <row r="220" spans="1:38" ht="15.75" customHeight="1" x14ac:dyDescent="0.2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  <c r="AH220" s="20"/>
      <c r="AI220" s="20"/>
      <c r="AJ220" s="20"/>
      <c r="AK220" s="20"/>
      <c r="AL220" s="20"/>
    </row>
    <row r="221" spans="1:38" ht="15.75" customHeight="1" x14ac:dyDescent="0.2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  <c r="AH221" s="20"/>
      <c r="AI221" s="20"/>
      <c r="AJ221" s="20"/>
      <c r="AK221" s="20"/>
      <c r="AL221" s="20"/>
    </row>
    <row r="222" spans="1:38" ht="15.75" customHeight="1" x14ac:dyDescent="0.2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  <c r="AH222" s="20"/>
      <c r="AI222" s="20"/>
      <c r="AJ222" s="20"/>
      <c r="AK222" s="20"/>
      <c r="AL222" s="20"/>
    </row>
    <row r="223" spans="1:38" ht="15.75" customHeight="1" x14ac:dyDescent="0.2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  <c r="AH223" s="20"/>
      <c r="AI223" s="20"/>
      <c r="AJ223" s="20"/>
      <c r="AK223" s="20"/>
      <c r="AL223" s="20"/>
    </row>
    <row r="224" spans="1:38" ht="15.75" customHeight="1" x14ac:dyDescent="0.2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  <c r="AH224" s="20"/>
      <c r="AI224" s="20"/>
      <c r="AJ224" s="20"/>
      <c r="AK224" s="20"/>
      <c r="AL224" s="20"/>
    </row>
    <row r="225" spans="1:38" ht="15.75" customHeight="1" x14ac:dyDescent="0.2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  <c r="AH225" s="20"/>
      <c r="AI225" s="20"/>
      <c r="AJ225" s="20"/>
      <c r="AK225" s="20"/>
      <c r="AL225" s="20"/>
    </row>
    <row r="226" spans="1:38" ht="15.75" customHeight="1" x14ac:dyDescent="0.2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  <c r="AH226" s="20"/>
      <c r="AI226" s="20"/>
      <c r="AJ226" s="20"/>
      <c r="AK226" s="20"/>
      <c r="AL226" s="20"/>
    </row>
    <row r="227" spans="1:38" ht="15.75" customHeight="1" x14ac:dyDescent="0.2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  <c r="AH227" s="20"/>
      <c r="AI227" s="20"/>
      <c r="AJ227" s="20"/>
      <c r="AK227" s="20"/>
      <c r="AL227" s="20"/>
    </row>
    <row r="228" spans="1:38" ht="15.75" customHeight="1" x14ac:dyDescent="0.2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  <c r="AH228" s="20"/>
      <c r="AI228" s="20"/>
      <c r="AJ228" s="20"/>
      <c r="AK228" s="20"/>
      <c r="AL228" s="20"/>
    </row>
    <row r="229" spans="1:38" ht="15.75" customHeight="1" x14ac:dyDescent="0.2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  <c r="AH229" s="20"/>
      <c r="AI229" s="20"/>
      <c r="AJ229" s="20"/>
      <c r="AK229" s="20"/>
      <c r="AL229" s="20"/>
    </row>
    <row r="230" spans="1:38" ht="15.75" customHeight="1" x14ac:dyDescent="0.2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  <c r="AH230" s="20"/>
      <c r="AI230" s="20"/>
      <c r="AJ230" s="20"/>
      <c r="AK230" s="20"/>
      <c r="AL230" s="20"/>
    </row>
    <row r="231" spans="1:38" ht="15.75" customHeight="1" x14ac:dyDescent="0.2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  <c r="AH231" s="20"/>
      <c r="AI231" s="20"/>
      <c r="AJ231" s="20"/>
      <c r="AK231" s="20"/>
      <c r="AL231" s="20"/>
    </row>
    <row r="232" spans="1:38" ht="15.75" customHeight="1" x14ac:dyDescent="0.2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  <c r="AH232" s="20"/>
      <c r="AI232" s="20"/>
      <c r="AJ232" s="20"/>
      <c r="AK232" s="20"/>
      <c r="AL232" s="20"/>
    </row>
    <row r="233" spans="1:38" ht="15.75" customHeight="1" x14ac:dyDescent="0.2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  <c r="AH233" s="20"/>
      <c r="AI233" s="20"/>
      <c r="AJ233" s="20"/>
      <c r="AK233" s="20"/>
      <c r="AL233" s="20"/>
    </row>
    <row r="234" spans="1:38" ht="15.75" customHeight="1" x14ac:dyDescent="0.2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  <c r="AH234" s="20"/>
      <c r="AI234" s="20"/>
      <c r="AJ234" s="20"/>
      <c r="AK234" s="20"/>
      <c r="AL234" s="20"/>
    </row>
    <row r="235" spans="1:38" ht="15.75" customHeight="1" x14ac:dyDescent="0.2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  <c r="AH235" s="20"/>
      <c r="AI235" s="20"/>
      <c r="AJ235" s="20"/>
      <c r="AK235" s="20"/>
      <c r="AL235" s="20"/>
    </row>
    <row r="236" spans="1:38" ht="15.75" customHeight="1" x14ac:dyDescent="0.2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  <c r="AH236" s="20"/>
      <c r="AI236" s="20"/>
      <c r="AJ236" s="20"/>
      <c r="AK236" s="20"/>
      <c r="AL236" s="20"/>
    </row>
    <row r="237" spans="1:38" ht="15.75" customHeight="1" x14ac:dyDescent="0.2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  <c r="AH237" s="20"/>
      <c r="AI237" s="20"/>
      <c r="AJ237" s="20"/>
      <c r="AK237" s="20"/>
      <c r="AL237" s="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20</vt:i4>
      </vt:variant>
    </vt:vector>
  </HeadingPairs>
  <TitlesOfParts>
    <vt:vector size="20" baseType="lpstr">
      <vt:lpstr>Compos</vt:lpstr>
      <vt:lpstr>Alias</vt:lpstr>
      <vt:lpstr>Pondération</vt:lpstr>
      <vt:lpstr>Miss Fortune</vt:lpstr>
      <vt:lpstr>Jinx</vt:lpstr>
      <vt:lpstr>Sivir</vt:lpstr>
      <vt:lpstr>Caitlyn</vt:lpstr>
      <vt:lpstr>Tristana</vt:lpstr>
      <vt:lpstr>Ashe</vt:lpstr>
      <vt:lpstr>Draven</vt:lpstr>
      <vt:lpstr>Ezreal</vt:lpstr>
      <vt:lpstr>Jhin</vt:lpstr>
      <vt:lpstr>Kai'Sa</vt:lpstr>
      <vt:lpstr>Kalista</vt:lpstr>
      <vt:lpstr>Kog'Maw</vt:lpstr>
      <vt:lpstr>Lucian</vt:lpstr>
      <vt:lpstr>Twitch</vt:lpstr>
      <vt:lpstr>Varus</vt:lpstr>
      <vt:lpstr>Vayne</vt:lpstr>
      <vt:lpstr>Xayah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2019-02-07T02:53:31Z</dcterms:modified>
</cp:coreProperties>
</file>