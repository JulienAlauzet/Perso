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827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ulien\Informatique &amp; Cie\Programmation\Perso\"/>
    </mc:Choice>
  </mc:AlternateContent>
  <xr:revisionPtr revIDLastSave="0" documentId="13_ncr:1_{24A5A702-B820-4C51-9C17-44E0F2C3598D}" xr6:coauthVersionLast="47" xr6:coauthVersionMax="47" xr10:uidLastSave="{00000000-0000-0000-0000-000000000000}"/>
  <bookViews>
    <workbookView xWindow="19090" yWindow="-110" windowWidth="19420" windowHeight="11020" xr2:uid="{00000000-000D-0000-FFFF-FFFF00000000}"/>
  </bookViews>
  <sheets>
    <sheet name="Feuil2" sheetId="2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9" i="2" l="1"/>
  <c r="AJ6" i="2"/>
  <c r="AJ8" i="2" s="1"/>
  <c r="AM6" i="2"/>
  <c r="AM8" i="2" s="1"/>
  <c r="AG6" i="2"/>
  <c r="AG8" i="2" s="1"/>
  <c r="T6" i="2"/>
  <c r="T8" i="2" s="1"/>
  <c r="AL6" i="2"/>
  <c r="AL8" i="2" s="1"/>
  <c r="AI6" i="2"/>
  <c r="AI8" i="2" s="1"/>
  <c r="W6" i="2"/>
  <c r="W8" i="2" s="1"/>
  <c r="AN6" i="2"/>
  <c r="AN8" i="2" s="1"/>
  <c r="Q6" i="2"/>
  <c r="Q8" i="2" s="1"/>
  <c r="AH6" i="2"/>
  <c r="AH8" i="2" s="1"/>
  <c r="V6" i="2"/>
  <c r="V8" i="2" s="1"/>
  <c r="S6" i="2"/>
  <c r="S8" i="2" s="1"/>
  <c r="AK6" i="2"/>
  <c r="AK8" i="2" s="1"/>
  <c r="X6" i="2"/>
  <c r="X8" i="2" s="1"/>
  <c r="R6" i="2"/>
  <c r="R8" i="2" s="1"/>
  <c r="U6" i="2"/>
  <c r="U8" i="2" s="1"/>
  <c r="R1" i="2"/>
  <c r="X1" i="2"/>
  <c r="AK1" i="2"/>
  <c r="S1" i="2"/>
  <c r="V1" i="2"/>
  <c r="AH1" i="2"/>
  <c r="Q1" i="2"/>
  <c r="AN1" i="2"/>
  <c r="W1" i="2"/>
  <c r="AI1" i="2"/>
  <c r="AL1" i="2"/>
  <c r="T1" i="2"/>
  <c r="AG1" i="2"/>
  <c r="AM1" i="2"/>
  <c r="AJ1" i="2"/>
  <c r="U1" i="2"/>
  <c r="AJ5" i="2"/>
  <c r="AM5" i="2"/>
  <c r="AG5" i="2"/>
  <c r="T5" i="2"/>
  <c r="AL5" i="2"/>
  <c r="AI5" i="2"/>
  <c r="W5" i="2"/>
  <c r="AN5" i="2"/>
  <c r="Q5" i="2"/>
  <c r="AH5" i="2"/>
  <c r="V5" i="2"/>
  <c r="S5" i="2"/>
  <c r="AK5" i="2"/>
  <c r="X5" i="2"/>
  <c r="R5" i="2"/>
  <c r="U5" i="2"/>
  <c r="AJ4" i="2"/>
  <c r="AM4" i="2"/>
  <c r="AG4" i="2"/>
  <c r="T4" i="2"/>
  <c r="AL4" i="2"/>
  <c r="AI4" i="2"/>
  <c r="W4" i="2"/>
  <c r="AN4" i="2"/>
  <c r="Q4" i="2"/>
  <c r="AH4" i="2"/>
  <c r="V4" i="2"/>
  <c r="S4" i="2"/>
  <c r="AK4" i="2"/>
  <c r="X4" i="2"/>
  <c r="R4" i="2"/>
  <c r="U4" i="2"/>
  <c r="AJ3" i="2"/>
  <c r="AM3" i="2"/>
  <c r="AG3" i="2"/>
  <c r="T3" i="2"/>
  <c r="AL3" i="2"/>
  <c r="AI3" i="2"/>
  <c r="W3" i="2"/>
  <c r="AN3" i="2"/>
  <c r="Q3" i="2"/>
  <c r="AH3" i="2"/>
  <c r="V3" i="2"/>
  <c r="S3" i="2"/>
  <c r="AK3" i="2"/>
  <c r="X3" i="2"/>
  <c r="R3" i="2"/>
  <c r="U3" i="2"/>
  <c r="AJ2" i="2"/>
  <c r="AM2" i="2"/>
  <c r="AG2" i="2"/>
  <c r="T2" i="2"/>
  <c r="AL2" i="2"/>
  <c r="AI2" i="2"/>
  <c r="W2" i="2"/>
  <c r="AN2" i="2"/>
  <c r="Q2" i="2"/>
  <c r="AH2" i="2"/>
  <c r="V2" i="2"/>
  <c r="S2" i="2"/>
  <c r="AK2" i="2"/>
  <c r="X2" i="2"/>
  <c r="R2" i="2"/>
  <c r="U2" i="2"/>
  <c r="AB6" i="2"/>
  <c r="AB8" i="2" s="1"/>
  <c r="AB2" i="2"/>
  <c r="AB3" i="2"/>
  <c r="AB4" i="2"/>
  <c r="AB5" i="2"/>
  <c r="AE6" i="2"/>
  <c r="AE8" i="2" s="1"/>
  <c r="AE2" i="2"/>
  <c r="AE3" i="2"/>
  <c r="AE4" i="2"/>
  <c r="Y6" i="2"/>
  <c r="Y8" i="2" s="1"/>
  <c r="Y2" i="2"/>
  <c r="Y3" i="2"/>
  <c r="Y5" i="2"/>
  <c r="L6" i="2"/>
  <c r="L8" i="2" s="1"/>
  <c r="L2" i="2"/>
  <c r="L4" i="2"/>
  <c r="L5" i="2"/>
  <c r="AD6" i="2"/>
  <c r="AD8" i="2" s="1"/>
  <c r="AD3" i="2"/>
  <c r="AD4" i="2"/>
  <c r="AD5" i="2"/>
  <c r="AA6" i="2"/>
  <c r="AA8" i="2" s="1"/>
  <c r="AA2" i="2"/>
  <c r="AA3" i="2"/>
  <c r="O6" i="2"/>
  <c r="O8" i="2" s="1"/>
  <c r="O2" i="2"/>
  <c r="O4" i="2"/>
  <c r="AF6" i="2"/>
  <c r="AF8" i="2" s="1"/>
  <c r="AF3" i="2"/>
  <c r="AF4" i="2"/>
  <c r="I6" i="2"/>
  <c r="I8" i="2" s="1"/>
  <c r="I2" i="2"/>
  <c r="I5" i="2"/>
  <c r="Z6" i="2"/>
  <c r="Z8" i="2" s="1"/>
  <c r="Z3" i="2"/>
  <c r="Z5" i="2"/>
  <c r="N6" i="2"/>
  <c r="N8" i="2" s="1"/>
  <c r="N4" i="2"/>
  <c r="N5" i="2"/>
  <c r="K6" i="2"/>
  <c r="K8" i="2" s="1"/>
  <c r="K2" i="2"/>
  <c r="AC6" i="2"/>
  <c r="AC8" i="2" s="1"/>
  <c r="AC3" i="2"/>
  <c r="P6" i="2"/>
  <c r="P8" i="2" s="1"/>
  <c r="P4" i="2"/>
  <c r="J6" i="2"/>
  <c r="J8" i="2" s="1"/>
  <c r="M6" i="2"/>
  <c r="M8" i="2" s="1"/>
  <c r="J5" i="2"/>
  <c r="J1" i="2"/>
  <c r="P1" i="2"/>
  <c r="AC1" i="2"/>
  <c r="K1" i="2"/>
  <c r="N1" i="2"/>
  <c r="Z1" i="2"/>
  <c r="I1" i="2"/>
  <c r="AF1" i="2"/>
  <c r="O1" i="2"/>
  <c r="AA1" i="2"/>
  <c r="AD1" i="2"/>
  <c r="L1" i="2"/>
  <c r="Y1" i="2"/>
  <c r="AE1" i="2"/>
  <c r="AB1" i="2"/>
  <c r="J2" i="2"/>
  <c r="P2" i="2"/>
  <c r="AC2" i="2"/>
  <c r="N2" i="2"/>
  <c r="Z2" i="2"/>
  <c r="AF2" i="2"/>
  <c r="AD2" i="2"/>
  <c r="J3" i="2"/>
  <c r="P3" i="2"/>
  <c r="K3" i="2"/>
  <c r="N3" i="2"/>
  <c r="I3" i="2"/>
  <c r="O3" i="2"/>
  <c r="L3" i="2"/>
  <c r="J4" i="2"/>
  <c r="AC4" i="2"/>
  <c r="K4" i="2"/>
  <c r="Z4" i="2"/>
  <c r="I4" i="2"/>
  <c r="AA4" i="2"/>
  <c r="Y4" i="2"/>
  <c r="P5" i="2"/>
  <c r="AC5" i="2"/>
  <c r="K5" i="2"/>
  <c r="AF5" i="2"/>
  <c r="O5" i="2"/>
  <c r="AA5" i="2"/>
  <c r="AE5" i="2"/>
  <c r="M2" i="2"/>
  <c r="M3" i="2"/>
  <c r="M4" i="2"/>
  <c r="M5" i="2"/>
  <c r="M1" i="2"/>
  <c r="B10" i="2" l="1"/>
  <c r="B11" i="2" s="1"/>
</calcChain>
</file>

<file path=xl/sharedStrings.xml><?xml version="1.0" encoding="utf-8"?>
<sst xmlns="http://schemas.openxmlformats.org/spreadsheetml/2006/main" count="23" uniqueCount="18">
  <si>
    <t>Match A - Team 1</t>
  </si>
  <si>
    <t>Match B - Team 1</t>
  </si>
  <si>
    <t>Match C - Team 1</t>
  </si>
  <si>
    <t>Match D - Team 1</t>
  </si>
  <si>
    <t>Match E - Team 1</t>
  </si>
  <si>
    <t>Total misé</t>
  </si>
  <si>
    <t>Espérance</t>
  </si>
  <si>
    <t>Gain espéré</t>
  </si>
  <si>
    <t>GO</t>
  </si>
  <si>
    <t>SLY</t>
  </si>
  <si>
    <t>OPL</t>
  </si>
  <si>
    <t>ME</t>
  </si>
  <si>
    <t>VITB</t>
  </si>
  <si>
    <t>LDLC</t>
  </si>
  <si>
    <t>GW</t>
  </si>
  <si>
    <t>KC</t>
  </si>
  <si>
    <t>MSFP</t>
  </si>
  <si>
    <t>BDSA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</si>
</sst>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theme="4" tint="-0.499984740745262"/>
      <name val="Calibri"/>
      <family val="2"/>
      <scheme val="minor"/>
    </font>
    <font>
      <b/>
      <sz val="11"/>
      <color rgb="FF820000"/>
      <name val="Calibri"/>
      <family val="2"/>
      <scheme val="minor"/>
    </font>
    <font>
      <b/>
      <sz val="11"/>
      <color theme="5" tint="-0.499984740745262"/>
      <name val="Calibri"/>
      <family val="2"/>
      <scheme val="minor"/>
    </font>
    <font>
      <b/>
      <sz val="11"/>
      <color theme="9" tint="-0.499984740745262"/>
      <name val="Calibri"/>
      <family val="2"/>
      <scheme val="minor"/>
    </font>
    <font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4D8D8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9">
    <xf numFmtId="0" fontId="0" fillId="0" borderId="0" xfId="0"/>
    <xf numFmtId="0" fontId="2" fillId="3" borderId="1" xfId="0" applyFont="1" applyFill="1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/>
    </xf>
    <xf numFmtId="2" fontId="1" fillId="2" borderId="3" xfId="1" applyNumberFormat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0" fontId="3" fillId="4" borderId="2" xfId="0" applyFont="1" applyFill="1" applyBorder="1" applyAlignment="1">
      <alignment horizontal="center" vertical="center"/>
    </xf>
    <xf numFmtId="2" fontId="0" fillId="0" borderId="0" xfId="0" applyNumberFormat="1"/>
    <xf numFmtId="2" fontId="5" fillId="6" borderId="1" xfId="0" applyNumberFormat="1" applyFont="1" applyFill="1" applyBorder="1" applyAlignment="1">
      <alignment horizontal="center" vertical="center"/>
    </xf>
  </cellXfs>
  <cellStyles count="2">
    <cellStyle name="Neutre" xfId="1" builtinId="28"/>
    <cellStyle name="Normal" xfId="0" builtinId="0"/>
  </cellStyles>
  <dxfs count="0"/>
  <tableStyles count="0" defaultTableStyle="TableStyleMedium2" defaultPivotStyle="PivotStyleLight16"/>
  <colors>
    <mruColors>
      <color rgb="FF820000"/>
      <color rgb="FFF4D8D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409575</xdr:colOff>
          <xdr:row>10</xdr:row>
          <xdr:rowOff>0</xdr:rowOff>
        </xdr:from>
        <xdr:to>
          <xdr:col>23</xdr:col>
          <xdr:colOff>733425</xdr:colOff>
          <xdr:row>14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TRIER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2"/>
  <dimension ref="A1:AN11"/>
  <sheetViews>
    <sheetView tabSelected="1" workbookViewId="0">
      <selection activeCell="I7" sqref="I7:AN7"/>
    </sheetView>
  </sheetViews>
  <sheetFormatPr baseColWidth="10" defaultRowHeight="15" x14ac:dyDescent="0.25"/>
  <cols>
    <col min="1" max="1" width="19.7109375" customWidth="1"/>
    <col min="2" max="2" width="25.7109375" customWidth="1"/>
    <col min="5" max="5" width="18.28515625" customWidth="1"/>
  </cols>
  <sheetData>
    <row r="1" spans="1:40" x14ac:dyDescent="0.25">
      <c r="A1" t="s">
        <v>0</v>
      </c>
      <c r="B1" t="s">
        <v>8</v>
      </c>
      <c r="C1">
        <v>2.79</v>
      </c>
      <c r="E1" t="s">
        <v>0</v>
      </c>
      <c r="F1" t="s">
        <v>17</v>
      </c>
      <c r="G1">
        <v>1.41</v>
      </c>
      <c r="I1" s="1" t="str">
        <f>$B1</f>
        <v>GO</v>
      </c>
      <c r="J1" s="1" t="str">
        <f>$B1</f>
        <v>GO</v>
      </c>
      <c r="K1" s="1" t="str">
        <f>$B1</f>
        <v>GO</v>
      </c>
      <c r="L1" s="1" t="str">
        <f>$B1</f>
        <v>GO</v>
      </c>
      <c r="M1" s="1" t="str">
        <f>$B1</f>
        <v>GO</v>
      </c>
      <c r="N1" s="1" t="str">
        <f>$B1</f>
        <v>GO</v>
      </c>
      <c r="O1" s="1" t="str">
        <f>$B1</f>
        <v>GO</v>
      </c>
      <c r="P1" s="1" t="str">
        <f>$B1</f>
        <v>GO</v>
      </c>
      <c r="Q1" s="2" t="str">
        <f>$F1</f>
        <v>BDSA</v>
      </c>
      <c r="R1" s="2" t="str">
        <f>$F1</f>
        <v>BDSA</v>
      </c>
      <c r="S1" s="2" t="str">
        <f>$F1</f>
        <v>BDSA</v>
      </c>
      <c r="T1" s="2" t="str">
        <f>$F1</f>
        <v>BDSA</v>
      </c>
      <c r="U1" s="2" t="str">
        <f>$F1</f>
        <v>BDSA</v>
      </c>
      <c r="V1" s="2" t="str">
        <f>$F1</f>
        <v>BDSA</v>
      </c>
      <c r="W1" s="2" t="str">
        <f>$F1</f>
        <v>BDSA</v>
      </c>
      <c r="X1" s="2" t="str">
        <f>$F1</f>
        <v>BDSA</v>
      </c>
      <c r="Y1" s="1" t="str">
        <f>$B1</f>
        <v>GO</v>
      </c>
      <c r="Z1" s="1" t="str">
        <f>$B1</f>
        <v>GO</v>
      </c>
      <c r="AA1" s="1" t="str">
        <f>$B1</f>
        <v>GO</v>
      </c>
      <c r="AB1" s="1" t="str">
        <f>$B1</f>
        <v>GO</v>
      </c>
      <c r="AC1" s="1" t="str">
        <f>$B1</f>
        <v>GO</v>
      </c>
      <c r="AD1" s="1" t="str">
        <f>$B1</f>
        <v>GO</v>
      </c>
      <c r="AE1" s="1" t="str">
        <f>$B1</f>
        <v>GO</v>
      </c>
      <c r="AF1" s="1" t="str">
        <f>$B1</f>
        <v>GO</v>
      </c>
      <c r="AG1" s="2" t="str">
        <f>$F1</f>
        <v>BDSA</v>
      </c>
      <c r="AH1" s="2" t="str">
        <f>$F1</f>
        <v>BDSA</v>
      </c>
      <c r="AI1" s="2" t="str">
        <f>$F1</f>
        <v>BDSA</v>
      </c>
      <c r="AJ1" s="2" t="str">
        <f>$F1</f>
        <v>BDSA</v>
      </c>
      <c r="AK1" s="2" t="str">
        <f>$F1</f>
        <v>BDSA</v>
      </c>
      <c r="AL1" s="2" t="str">
        <f>$F1</f>
        <v>BDSA</v>
      </c>
      <c r="AM1" s="2" t="str">
        <f>$F1</f>
        <v>BDSA</v>
      </c>
      <c r="AN1" s="2" t="str">
        <f>$F1</f>
        <v>BDSA</v>
      </c>
    </row>
    <row r="2" spans="1:40" x14ac:dyDescent="0.25">
      <c r="A2" t="s">
        <v>1</v>
      </c>
      <c r="B2" t="s">
        <v>9</v>
      </c>
      <c r="C2">
        <v>1.79</v>
      </c>
      <c r="E2" t="s">
        <v>1</v>
      </c>
      <c r="F2" t="s">
        <v>16</v>
      </c>
      <c r="G2">
        <v>1.92</v>
      </c>
      <c r="I2" s="2" t="str">
        <f>$F2</f>
        <v>MSFP</v>
      </c>
      <c r="J2" s="1" t="str">
        <f>$B2</f>
        <v>SLY</v>
      </c>
      <c r="K2" s="2" t="str">
        <f>$F2</f>
        <v>MSFP</v>
      </c>
      <c r="L2" s="2" t="str">
        <f>$F2</f>
        <v>MSFP</v>
      </c>
      <c r="M2" s="1" t="str">
        <f>$B2</f>
        <v>SLY</v>
      </c>
      <c r="N2" s="1" t="str">
        <f>$B2</f>
        <v>SLY</v>
      </c>
      <c r="O2" s="2" t="str">
        <f>$F2</f>
        <v>MSFP</v>
      </c>
      <c r="P2" s="1" t="str">
        <f>$B2</f>
        <v>SLY</v>
      </c>
      <c r="Q2" s="2" t="str">
        <f>$F2</f>
        <v>MSFP</v>
      </c>
      <c r="R2" s="1" t="str">
        <f>$B2</f>
        <v>SLY</v>
      </c>
      <c r="S2" s="2" t="str">
        <f>$F2</f>
        <v>MSFP</v>
      </c>
      <c r="T2" s="2" t="str">
        <f>$F2</f>
        <v>MSFP</v>
      </c>
      <c r="U2" s="1" t="str">
        <f>$B2</f>
        <v>SLY</v>
      </c>
      <c r="V2" s="1" t="str">
        <f>$B2</f>
        <v>SLY</v>
      </c>
      <c r="W2" s="2" t="str">
        <f>$F2</f>
        <v>MSFP</v>
      </c>
      <c r="X2" s="1" t="str">
        <f>$B2</f>
        <v>SLY</v>
      </c>
      <c r="Y2" s="2" t="str">
        <f>$F2</f>
        <v>MSFP</v>
      </c>
      <c r="Z2" s="1" t="str">
        <f>$B2</f>
        <v>SLY</v>
      </c>
      <c r="AA2" s="2" t="str">
        <f>$F2</f>
        <v>MSFP</v>
      </c>
      <c r="AB2" s="2" t="str">
        <f>$F2</f>
        <v>MSFP</v>
      </c>
      <c r="AC2" s="1" t="str">
        <f>$B2</f>
        <v>SLY</v>
      </c>
      <c r="AD2" s="1" t="str">
        <f>$B2</f>
        <v>SLY</v>
      </c>
      <c r="AE2" s="2" t="str">
        <f>$F2</f>
        <v>MSFP</v>
      </c>
      <c r="AF2" s="1" t="str">
        <f>$B2</f>
        <v>SLY</v>
      </c>
      <c r="AG2" s="2" t="str">
        <f>$F2</f>
        <v>MSFP</v>
      </c>
      <c r="AH2" s="1" t="str">
        <f>$B2</f>
        <v>SLY</v>
      </c>
      <c r="AI2" s="2" t="str">
        <f>$F2</f>
        <v>MSFP</v>
      </c>
      <c r="AJ2" s="2" t="str">
        <f>$F2</f>
        <v>MSFP</v>
      </c>
      <c r="AK2" s="1" t="str">
        <f>$B2</f>
        <v>SLY</v>
      </c>
      <c r="AL2" s="1" t="str">
        <f>$B2</f>
        <v>SLY</v>
      </c>
      <c r="AM2" s="2" t="str">
        <f>$F2</f>
        <v>MSFP</v>
      </c>
      <c r="AN2" s="1" t="str">
        <f>$B2</f>
        <v>SLY</v>
      </c>
    </row>
    <row r="3" spans="1:40" x14ac:dyDescent="0.25">
      <c r="A3" t="s">
        <v>2</v>
      </c>
      <c r="B3" t="s">
        <v>10</v>
      </c>
      <c r="C3">
        <v>6.67</v>
      </c>
      <c r="E3" t="s">
        <v>2</v>
      </c>
      <c r="F3" t="s">
        <v>15</v>
      </c>
      <c r="G3">
        <v>1.0900000000000001</v>
      </c>
      <c r="I3" s="1" t="str">
        <f>$B3</f>
        <v>OPL</v>
      </c>
      <c r="J3" s="1" t="str">
        <f>$B3</f>
        <v>OPL</v>
      </c>
      <c r="K3" s="1" t="str">
        <f>$B3</f>
        <v>OPL</v>
      </c>
      <c r="L3" s="1" t="str">
        <f>$B3</f>
        <v>OPL</v>
      </c>
      <c r="M3" s="1" t="str">
        <f>$B3</f>
        <v>OPL</v>
      </c>
      <c r="N3" s="1" t="str">
        <f>$B3</f>
        <v>OPL</v>
      </c>
      <c r="O3" s="1" t="str">
        <f>$B3</f>
        <v>OPL</v>
      </c>
      <c r="P3" s="1" t="str">
        <f>$B3</f>
        <v>OPL</v>
      </c>
      <c r="Q3" s="1" t="str">
        <f>$B3</f>
        <v>OPL</v>
      </c>
      <c r="R3" s="1" t="str">
        <f>$B3</f>
        <v>OPL</v>
      </c>
      <c r="S3" s="1" t="str">
        <f>$B3</f>
        <v>OPL</v>
      </c>
      <c r="T3" s="1" t="str">
        <f>$B3</f>
        <v>OPL</v>
      </c>
      <c r="U3" s="1" t="str">
        <f>$B3</f>
        <v>OPL</v>
      </c>
      <c r="V3" s="1" t="str">
        <f>$B3</f>
        <v>OPL</v>
      </c>
      <c r="W3" s="1" t="str">
        <f>$B3</f>
        <v>OPL</v>
      </c>
      <c r="X3" s="1" t="str">
        <f>$B3</f>
        <v>OPL</v>
      </c>
      <c r="Y3" s="2" t="str">
        <f>$F3</f>
        <v>KC</v>
      </c>
      <c r="Z3" s="2" t="str">
        <f>$F3</f>
        <v>KC</v>
      </c>
      <c r="AA3" s="2" t="str">
        <f>$F3</f>
        <v>KC</v>
      </c>
      <c r="AB3" s="2" t="str">
        <f>$F3</f>
        <v>KC</v>
      </c>
      <c r="AC3" s="2" t="str">
        <f>$F3</f>
        <v>KC</v>
      </c>
      <c r="AD3" s="2" t="str">
        <f>$F3</f>
        <v>KC</v>
      </c>
      <c r="AE3" s="2" t="str">
        <f>$F3</f>
        <v>KC</v>
      </c>
      <c r="AF3" s="2" t="str">
        <f>$F3</f>
        <v>KC</v>
      </c>
      <c r="AG3" s="2" t="str">
        <f>$F3</f>
        <v>KC</v>
      </c>
      <c r="AH3" s="2" t="str">
        <f>$F3</f>
        <v>KC</v>
      </c>
      <c r="AI3" s="2" t="str">
        <f>$F3</f>
        <v>KC</v>
      </c>
      <c r="AJ3" s="2" t="str">
        <f>$F3</f>
        <v>KC</v>
      </c>
      <c r="AK3" s="2" t="str">
        <f>$F3</f>
        <v>KC</v>
      </c>
      <c r="AL3" s="2" t="str">
        <f>$F3</f>
        <v>KC</v>
      </c>
      <c r="AM3" s="2" t="str">
        <f>$F3</f>
        <v>KC</v>
      </c>
      <c r="AN3" s="2" t="str">
        <f>$F3</f>
        <v>KC</v>
      </c>
    </row>
    <row r="4" spans="1:40" x14ac:dyDescent="0.25">
      <c r="A4" t="s">
        <v>3</v>
      </c>
      <c r="B4" t="s">
        <v>11</v>
      </c>
      <c r="C4">
        <v>2.06</v>
      </c>
      <c r="E4" t="s">
        <v>3</v>
      </c>
      <c r="F4" t="s">
        <v>14</v>
      </c>
      <c r="G4">
        <v>1.71</v>
      </c>
      <c r="I4" s="1" t="str">
        <f>$B4</f>
        <v>ME</v>
      </c>
      <c r="J4" s="1" t="str">
        <f>$B4</f>
        <v>ME</v>
      </c>
      <c r="K4" s="1" t="str">
        <f>$B4</f>
        <v>ME</v>
      </c>
      <c r="L4" s="2" t="str">
        <f>$F4</f>
        <v>GW</v>
      </c>
      <c r="M4" s="1" t="str">
        <f>$B4</f>
        <v>ME</v>
      </c>
      <c r="N4" s="2" t="str">
        <f>$F4</f>
        <v>GW</v>
      </c>
      <c r="O4" s="2" t="str">
        <f>$F4</f>
        <v>GW</v>
      </c>
      <c r="P4" s="2" t="str">
        <f>$F4</f>
        <v>GW</v>
      </c>
      <c r="Q4" s="1" t="str">
        <f>$B4</f>
        <v>ME</v>
      </c>
      <c r="R4" s="1" t="str">
        <f>$B4</f>
        <v>ME</v>
      </c>
      <c r="S4" s="1" t="str">
        <f>$B4</f>
        <v>ME</v>
      </c>
      <c r="T4" s="2" t="str">
        <f>$F4</f>
        <v>GW</v>
      </c>
      <c r="U4" s="1" t="str">
        <f>$B4</f>
        <v>ME</v>
      </c>
      <c r="V4" s="2" t="str">
        <f>$F4</f>
        <v>GW</v>
      </c>
      <c r="W4" s="2" t="str">
        <f>$F4</f>
        <v>GW</v>
      </c>
      <c r="X4" s="2" t="str">
        <f>$F4</f>
        <v>GW</v>
      </c>
      <c r="Y4" s="1" t="str">
        <f>$B4</f>
        <v>ME</v>
      </c>
      <c r="Z4" s="1" t="str">
        <f>$B4</f>
        <v>ME</v>
      </c>
      <c r="AA4" s="1" t="str">
        <f>$B4</f>
        <v>ME</v>
      </c>
      <c r="AB4" s="2" t="str">
        <f>$F4</f>
        <v>GW</v>
      </c>
      <c r="AC4" s="1" t="str">
        <f>$B4</f>
        <v>ME</v>
      </c>
      <c r="AD4" s="2" t="str">
        <f>$F4</f>
        <v>GW</v>
      </c>
      <c r="AE4" s="2" t="str">
        <f>$F4</f>
        <v>GW</v>
      </c>
      <c r="AF4" s="2" t="str">
        <f>$F4</f>
        <v>GW</v>
      </c>
      <c r="AG4" s="1" t="str">
        <f>$B4</f>
        <v>ME</v>
      </c>
      <c r="AH4" s="1" t="str">
        <f>$B4</f>
        <v>ME</v>
      </c>
      <c r="AI4" s="1" t="str">
        <f>$B4</f>
        <v>ME</v>
      </c>
      <c r="AJ4" s="2" t="str">
        <f>$F4</f>
        <v>GW</v>
      </c>
      <c r="AK4" s="1" t="str">
        <f>$B4</f>
        <v>ME</v>
      </c>
      <c r="AL4" s="2" t="str">
        <f>$F4</f>
        <v>GW</v>
      </c>
      <c r="AM4" s="2" t="str">
        <f>$F4</f>
        <v>GW</v>
      </c>
      <c r="AN4" s="2" t="str">
        <f>$F4</f>
        <v>GW</v>
      </c>
    </row>
    <row r="5" spans="1:40" ht="15.75" thickBot="1" x14ac:dyDescent="0.3">
      <c r="A5" t="s">
        <v>4</v>
      </c>
      <c r="B5" t="s">
        <v>12</v>
      </c>
      <c r="C5">
        <v>1.72</v>
      </c>
      <c r="E5" t="s">
        <v>4</v>
      </c>
      <c r="F5" t="s">
        <v>13</v>
      </c>
      <c r="G5">
        <v>2.0299999999999998</v>
      </c>
      <c r="I5" s="6" t="str">
        <f>$F5</f>
        <v>LDLC</v>
      </c>
      <c r="J5" s="6" t="str">
        <f>$F5</f>
        <v>LDLC</v>
      </c>
      <c r="K5" s="5" t="str">
        <f>$B5</f>
        <v>VITB</v>
      </c>
      <c r="L5" s="6" t="str">
        <f>$F5</f>
        <v>LDLC</v>
      </c>
      <c r="M5" s="5" t="str">
        <f>$B5</f>
        <v>VITB</v>
      </c>
      <c r="N5" s="6" t="str">
        <f>$F5</f>
        <v>LDLC</v>
      </c>
      <c r="O5" s="5" t="str">
        <f>$B5</f>
        <v>VITB</v>
      </c>
      <c r="P5" s="5" t="str">
        <f>$B5</f>
        <v>VITB</v>
      </c>
      <c r="Q5" s="6" t="str">
        <f>$F5</f>
        <v>LDLC</v>
      </c>
      <c r="R5" s="6" t="str">
        <f>$F5</f>
        <v>LDLC</v>
      </c>
      <c r="S5" s="5" t="str">
        <f>$B5</f>
        <v>VITB</v>
      </c>
      <c r="T5" s="6" t="str">
        <f>$F5</f>
        <v>LDLC</v>
      </c>
      <c r="U5" s="5" t="str">
        <f>$B5</f>
        <v>VITB</v>
      </c>
      <c r="V5" s="6" t="str">
        <f>$F5</f>
        <v>LDLC</v>
      </c>
      <c r="W5" s="5" t="str">
        <f>$B5</f>
        <v>VITB</v>
      </c>
      <c r="X5" s="5" t="str">
        <f>$B5</f>
        <v>VITB</v>
      </c>
      <c r="Y5" s="6" t="str">
        <f>$F5</f>
        <v>LDLC</v>
      </c>
      <c r="Z5" s="6" t="str">
        <f>$F5</f>
        <v>LDLC</v>
      </c>
      <c r="AA5" s="5" t="str">
        <f>$B5</f>
        <v>VITB</v>
      </c>
      <c r="AB5" s="6" t="str">
        <f>$F5</f>
        <v>LDLC</v>
      </c>
      <c r="AC5" s="5" t="str">
        <f>$B5</f>
        <v>VITB</v>
      </c>
      <c r="AD5" s="6" t="str">
        <f>$F5</f>
        <v>LDLC</v>
      </c>
      <c r="AE5" s="5" t="str">
        <f>$B5</f>
        <v>VITB</v>
      </c>
      <c r="AF5" s="5" t="str">
        <f>$B5</f>
        <v>VITB</v>
      </c>
      <c r="AG5" s="6" t="str">
        <f>$F5</f>
        <v>LDLC</v>
      </c>
      <c r="AH5" s="6" t="str">
        <f>$F5</f>
        <v>LDLC</v>
      </c>
      <c r="AI5" s="5" t="str">
        <f>$B5</f>
        <v>VITB</v>
      </c>
      <c r="AJ5" s="6" t="str">
        <f>$F5</f>
        <v>LDLC</v>
      </c>
      <c r="AK5" s="5" t="str">
        <f>$B5</f>
        <v>VITB</v>
      </c>
      <c r="AL5" s="6" t="str">
        <f>$F5</f>
        <v>LDLC</v>
      </c>
      <c r="AM5" s="5" t="str">
        <f>$B5</f>
        <v>VITB</v>
      </c>
      <c r="AN5" s="5" t="str">
        <f>$B5</f>
        <v>VITB</v>
      </c>
    </row>
    <row r="6" spans="1:40" x14ac:dyDescent="0.25">
      <c r="I6" s="4">
        <f>$C1*$G2*$C3*$C4*$G5</f>
        <v>149.41511182080001</v>
      </c>
      <c r="J6" s="4">
        <f>$C1*$C2*$C3*$C4*$G5</f>
        <v>139.2984636246</v>
      </c>
      <c r="K6" s="4">
        <f>$C1*$G2*$C3*$C4*$C5</f>
        <v>126.5980257792</v>
      </c>
      <c r="L6" s="4">
        <f>$C1*$G2*$C3*$G4*$G5</f>
        <v>124.02904913279997</v>
      </c>
      <c r="M6" s="4">
        <f>$C1*$C2*$C3*$C4*$C5</f>
        <v>118.0262844504</v>
      </c>
      <c r="N6" s="4">
        <f>$C1*$C2*$C3*$G4*$G5</f>
        <v>115.6312489311</v>
      </c>
      <c r="O6" s="4">
        <f>$C1*$G2*$C3*$G4*$C5</f>
        <v>105.08865246719998</v>
      </c>
      <c r="P6" s="4">
        <f>$C1*$C2*$C3*$G4*$C5</f>
        <v>97.973274956400004</v>
      </c>
      <c r="Q6" s="4">
        <f>$G1*$G2*$C3*$C4*$G5</f>
        <v>75.510862963199997</v>
      </c>
      <c r="R6" s="4">
        <f>$G1*$C2*$C3*$C4*$G5</f>
        <v>70.398148283399991</v>
      </c>
      <c r="S6" s="4">
        <f>$G1*$G2*$C3*$C4*$C5</f>
        <v>63.979647436800001</v>
      </c>
      <c r="T6" s="4">
        <f>$G1*$G2*$C3*$G4*$G5</f>
        <v>62.681347411199987</v>
      </c>
      <c r="U6" s="4">
        <f>$G1*$C2*$C3*$C4*$C5</f>
        <v>59.64769214159999</v>
      </c>
      <c r="V6" s="4">
        <f>$G1*$C2*$C3*$G4*$G5</f>
        <v>58.43729784689998</v>
      </c>
      <c r="W6" s="4">
        <f>$G1*$G2*$C3*$G4*$C5</f>
        <v>53.109318988799998</v>
      </c>
      <c r="X6" s="4">
        <f>$G1*$C2*$C3*$G4*$C5</f>
        <v>49.513375515599989</v>
      </c>
      <c r="Y6" s="4">
        <f>$C1*$G2*$G3*$C4*$G5</f>
        <v>24.417162201600004</v>
      </c>
      <c r="Z6" s="4">
        <f>$C1*$C2*$G3*$C4*$G5</f>
        <v>22.763916844200001</v>
      </c>
      <c r="AA6" s="4">
        <f>$C1*$G2*$G3*$C4*$C5</f>
        <v>20.688432998400003</v>
      </c>
      <c r="AB6" s="4">
        <f>$C1*$G2*$G3*$G4*$G5</f>
        <v>20.268615225599998</v>
      </c>
      <c r="AC6" s="4">
        <f>$C1*$C2*$G3*$C4*$C5</f>
        <v>19.287653680800002</v>
      </c>
      <c r="AD6" s="4">
        <f>$C1*$C2*$G3*$G4*$G5</f>
        <v>18.8962610697</v>
      </c>
      <c r="AE6" s="4">
        <f>$C1*$G2*$G3*$G4*$C5</f>
        <v>17.1734079744</v>
      </c>
      <c r="AF6" s="4">
        <f>$C1*$C2*$G3*$G4*$C5</f>
        <v>16.010625142800002</v>
      </c>
      <c r="AG6" s="4">
        <f>$G1*$G2*$G3*$C4*$G5</f>
        <v>12.339856166400001</v>
      </c>
      <c r="AH6" s="4">
        <f>$G1*$C2*$G3*$C4*$G5</f>
        <v>11.5043450718</v>
      </c>
      <c r="AI6" s="4">
        <f>$G1*$G2*$G3*$C4*$C5</f>
        <v>10.455444633600001</v>
      </c>
      <c r="AJ6" s="4">
        <f>$G1*$G2*$G3*$G4*$G5</f>
        <v>10.243278662399998</v>
      </c>
      <c r="AK6" s="4">
        <f>$G1*$C2*$G3*$C4*$C5</f>
        <v>9.7475239032000012</v>
      </c>
      <c r="AL6" s="4">
        <f>$G1*$C2*$G3*$G4*$G5</f>
        <v>9.5497233362999996</v>
      </c>
      <c r="AM6" s="4">
        <f>$G1*$G2*$G3*$G4*$C5</f>
        <v>8.6790341376000004</v>
      </c>
      <c r="AN6" s="4">
        <f>$G1*$C2*$G3*$G4*$C5</f>
        <v>8.0913912012000004</v>
      </c>
    </row>
    <row r="7" spans="1:40" x14ac:dyDescent="0.25"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</row>
    <row r="8" spans="1:40" x14ac:dyDescent="0.25">
      <c r="I8" s="8">
        <f>I7*I6</f>
        <v>0</v>
      </c>
      <c r="J8" s="8">
        <f>J7*J6</f>
        <v>0</v>
      </c>
      <c r="K8" s="8">
        <f>K7*K6</f>
        <v>0</v>
      </c>
      <c r="L8" s="8">
        <f>L7*L6</f>
        <v>0</v>
      </c>
      <c r="M8" s="8">
        <f>M7*M6</f>
        <v>0</v>
      </c>
      <c r="N8" s="8">
        <f>N7*N6</f>
        <v>0</v>
      </c>
      <c r="O8" s="8">
        <f>O7*O6</f>
        <v>0</v>
      </c>
      <c r="P8" s="8">
        <f>P7*P6</f>
        <v>0</v>
      </c>
      <c r="Q8" s="8">
        <f>Q7*Q6</f>
        <v>0</v>
      </c>
      <c r="R8" s="8">
        <f>R7*R6</f>
        <v>0</v>
      </c>
      <c r="S8" s="8">
        <f>S7*S6</f>
        <v>0</v>
      </c>
      <c r="T8" s="8">
        <f>T7*T6</f>
        <v>0</v>
      </c>
      <c r="U8" s="8">
        <f>U7*U6</f>
        <v>0</v>
      </c>
      <c r="V8" s="8">
        <f>V7*V6</f>
        <v>0</v>
      </c>
      <c r="W8" s="8">
        <f>W7*W6</f>
        <v>0</v>
      </c>
      <c r="X8" s="8">
        <f>X7*X6</f>
        <v>0</v>
      </c>
      <c r="Y8" s="8">
        <f>Y7*Y6</f>
        <v>0</v>
      </c>
      <c r="Z8" s="8">
        <f>Z7*Z6</f>
        <v>0</v>
      </c>
      <c r="AA8" s="8">
        <f>AA7*AA6</f>
        <v>0</v>
      </c>
      <c r="AB8" s="8">
        <f>AB7*AB6</f>
        <v>0</v>
      </c>
      <c r="AC8" s="8">
        <f>AC7*AC6</f>
        <v>0</v>
      </c>
      <c r="AD8" s="8">
        <f>AD7*AD6</f>
        <v>0</v>
      </c>
      <c r="AE8" s="8">
        <f>AE7*AE6</f>
        <v>0</v>
      </c>
      <c r="AF8" s="8">
        <f>AF7*AF6</f>
        <v>0</v>
      </c>
      <c r="AG8" s="8">
        <f>AG7*AG6</f>
        <v>0</v>
      </c>
      <c r="AH8" s="8">
        <f>AH7*AH6</f>
        <v>0</v>
      </c>
      <c r="AI8" s="8">
        <f>AI7*AI6</f>
        <v>0</v>
      </c>
      <c r="AJ8" s="8">
        <f>AJ7*AJ6</f>
        <v>0</v>
      </c>
      <c r="AK8" s="8">
        <f>AK7*AK6</f>
        <v>0</v>
      </c>
      <c r="AL8" s="8">
        <f>AL7*AL6</f>
        <v>0</v>
      </c>
      <c r="AM8" s="8">
        <f>AM7*AM6</f>
        <v>0</v>
      </c>
      <c r="AN8" s="8">
        <f>AN7*AN6</f>
        <v>0</v>
      </c>
    </row>
    <row r="9" spans="1:40" x14ac:dyDescent="0.25">
      <c r="A9" t="s">
        <v>5</v>
      </c>
      <c r="B9">
        <f>SUM(I7:AN7)</f>
        <v>0</v>
      </c>
    </row>
    <row r="10" spans="1:40" x14ac:dyDescent="0.25">
      <c r="A10" t="s">
        <v>6</v>
      </c>
      <c r="B10">
        <f>SUM(I8:AN8)/32</f>
        <v>0</v>
      </c>
    </row>
    <row r="11" spans="1:40" x14ac:dyDescent="0.25">
      <c r="A11" t="s">
        <v>7</v>
      </c>
      <c r="B11" s="7">
        <f>B10-B9</f>
        <v>0</v>
      </c>
    </row>
  </sheetData>
  <sortState xmlns:xlrd2="http://schemas.microsoft.com/office/spreadsheetml/2017/richdata2" columnSort="1" ref="I1:AN8">
    <sortCondition descending="1" ref="I6:AN6"/>
  </sortState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rifinal">
                <anchor moveWithCells="1" sizeWithCells="1">
                  <from>
                    <xdr:col>20</xdr:col>
                    <xdr:colOff>409575</xdr:colOff>
                    <xdr:row>10</xdr:row>
                    <xdr:rowOff>0</xdr:rowOff>
                  </from>
                  <to>
                    <xdr:col>23</xdr:col>
                    <xdr:colOff>733425</xdr:colOff>
                    <xdr:row>14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Feuil2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Julien Alauzet</dc:creator>
  <cp:lastModifiedBy>Julien Alauzet</cp:lastModifiedBy>
  <dcterms:created xsi:type="dcterms:W3CDTF">2015-06-05T18:19:34Z</dcterms:created>
  <dcterms:modified xsi:type="dcterms:W3CDTF">2022-02-09T14:28:08Z</dcterms:modified>
</cp:coreProperties>
</file>