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xr:revisionPtr revIDLastSave="0" documentId="13_ncr:1_{DA69FAD0-F7E4-431A-9FC4-4F7A815FAA68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Feuil2" sheetId="2" r:id="rId1"/>
    <sheet name="Feuil3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" l="1"/>
  <c r="R7" i="4"/>
  <c r="N7" i="4"/>
  <c r="Y7" i="4"/>
  <c r="M7" i="4"/>
  <c r="I7" i="4"/>
  <c r="V7" i="4"/>
  <c r="S7" i="4"/>
  <c r="T7" i="4"/>
  <c r="AE7" i="4"/>
  <c r="J7" i="4"/>
  <c r="P7" i="4"/>
  <c r="W7" i="4"/>
  <c r="AF7" i="4"/>
  <c r="AL7" i="4"/>
  <c r="AH7" i="4"/>
  <c r="O7" i="4"/>
  <c r="Z7" i="4"/>
  <c r="K7" i="4"/>
  <c r="U7" i="4"/>
  <c r="AG7" i="4"/>
  <c r="AA7" i="4"/>
  <c r="Q7" i="4"/>
  <c r="AB7" i="4"/>
  <c r="AM7" i="4"/>
  <c r="AN7" i="4"/>
  <c r="AC7" i="4"/>
  <c r="AJ7" i="4"/>
  <c r="X7" i="4"/>
  <c r="AI7" i="4"/>
  <c r="AD7" i="4"/>
  <c r="AK7" i="4"/>
  <c r="L7" i="4"/>
  <c r="AK5" i="4"/>
  <c r="AD5" i="4"/>
  <c r="AI5" i="4"/>
  <c r="X5" i="4"/>
  <c r="AJ5" i="4"/>
  <c r="AC5" i="4"/>
  <c r="AN5" i="4"/>
  <c r="AM5" i="4"/>
  <c r="AB5" i="4"/>
  <c r="Q5" i="4"/>
  <c r="AA5" i="4"/>
  <c r="AG5" i="4"/>
  <c r="U5" i="4"/>
  <c r="K5" i="4"/>
  <c r="Z5" i="4"/>
  <c r="O5" i="4"/>
  <c r="Y5" i="4"/>
  <c r="N5" i="4"/>
  <c r="R5" i="4"/>
  <c r="L5" i="4"/>
  <c r="AH5" i="4"/>
  <c r="AL5" i="4"/>
  <c r="AF5" i="4"/>
  <c r="W5" i="4"/>
  <c r="P5" i="4"/>
  <c r="J5" i="4"/>
  <c r="AE5" i="4"/>
  <c r="T5" i="4"/>
  <c r="S5" i="4"/>
  <c r="V5" i="4"/>
  <c r="I5" i="4"/>
  <c r="M5" i="4"/>
  <c r="AK1" i="4"/>
  <c r="AK2" i="4"/>
  <c r="AK3" i="4"/>
  <c r="AD1" i="4"/>
  <c r="AD2" i="4"/>
  <c r="AD4" i="4"/>
  <c r="AI1" i="4"/>
  <c r="AI3" i="4"/>
  <c r="AI4" i="4"/>
  <c r="X2" i="4"/>
  <c r="X3" i="4"/>
  <c r="X4" i="4"/>
  <c r="AJ2" i="4"/>
  <c r="AC2" i="4"/>
  <c r="AJ1" i="4"/>
  <c r="AC1" i="4"/>
  <c r="AJ4" i="4"/>
  <c r="AC3" i="4"/>
  <c r="AN1" i="4"/>
  <c r="AM1" i="4"/>
  <c r="AN3" i="4"/>
  <c r="AM3" i="4"/>
  <c r="AN4" i="4"/>
  <c r="AM2" i="4"/>
  <c r="AB2" i="4"/>
  <c r="Q2" i="4"/>
  <c r="AB3" i="4"/>
  <c r="Q3" i="4"/>
  <c r="AB4" i="4"/>
  <c r="Q1" i="4"/>
  <c r="AA1" i="4"/>
  <c r="AG1" i="4"/>
  <c r="AA4" i="4"/>
  <c r="AG4" i="4"/>
  <c r="AA3" i="4"/>
  <c r="AG2" i="4"/>
  <c r="U2" i="4"/>
  <c r="K2" i="4"/>
  <c r="U4" i="4"/>
  <c r="K4" i="4"/>
  <c r="U3" i="4"/>
  <c r="K1" i="4"/>
  <c r="Z3" i="4"/>
  <c r="O3" i="4"/>
  <c r="Z4" i="4"/>
  <c r="O4" i="4"/>
  <c r="Z2" i="4"/>
  <c r="O1" i="4"/>
  <c r="AH1" i="4"/>
  <c r="AL1" i="4"/>
  <c r="AF1" i="4"/>
  <c r="AH4" i="4"/>
  <c r="AL4" i="4"/>
  <c r="AH3" i="4"/>
  <c r="AF3" i="4"/>
  <c r="AL2" i="4"/>
  <c r="AF2" i="4"/>
  <c r="W2" i="4"/>
  <c r="P2" i="4"/>
  <c r="J2" i="4"/>
  <c r="W4" i="4"/>
  <c r="P4" i="4"/>
  <c r="W3" i="4"/>
  <c r="J3" i="4"/>
  <c r="P1" i="4"/>
  <c r="J1" i="4"/>
  <c r="AE3" i="4"/>
  <c r="T3" i="4"/>
  <c r="S3" i="4"/>
  <c r="AE4" i="4"/>
  <c r="T4" i="4"/>
  <c r="AE2" i="4"/>
  <c r="S2" i="4"/>
  <c r="T1" i="4"/>
  <c r="S1" i="4"/>
  <c r="V4" i="4"/>
  <c r="I4" i="4"/>
  <c r="M4" i="4"/>
  <c r="V3" i="4"/>
  <c r="I3" i="4"/>
  <c r="V2" i="4"/>
  <c r="M2" i="4"/>
  <c r="I1" i="4"/>
  <c r="M1" i="4"/>
  <c r="Y2" i="4"/>
  <c r="Y4" i="4"/>
  <c r="Y3" i="4"/>
  <c r="N3" i="4"/>
  <c r="N1" i="4"/>
  <c r="N4" i="4"/>
  <c r="R4" i="4"/>
  <c r="R1" i="4"/>
  <c r="R2" i="4"/>
  <c r="L2" i="4"/>
  <c r="L3" i="4"/>
  <c r="L1" i="4"/>
  <c r="B9" i="2"/>
  <c r="AF6" i="2"/>
  <c r="AF8" i="2" s="1"/>
  <c r="AL6" i="2"/>
  <c r="AL8" i="2" s="1"/>
  <c r="Z6" i="2"/>
  <c r="Z8" i="2" s="1"/>
  <c r="AE6" i="2"/>
  <c r="AE8" i="2" s="1"/>
  <c r="AJ6" i="2"/>
  <c r="AJ8" i="2" s="1"/>
  <c r="AD6" i="2"/>
  <c r="AD8" i="2" s="1"/>
  <c r="AK6" i="2"/>
  <c r="AK8" i="2" s="1"/>
  <c r="AN6" i="2"/>
  <c r="AN8" i="2" s="1"/>
  <c r="Y6" i="2"/>
  <c r="Y8" i="2" s="1"/>
  <c r="AB6" i="2"/>
  <c r="AB8" i="2" s="1"/>
  <c r="AI6" i="2"/>
  <c r="AI8" i="2" s="1"/>
  <c r="AC6" i="2"/>
  <c r="AC8" i="2" s="1"/>
  <c r="AH6" i="2"/>
  <c r="AH8" i="2" s="1"/>
  <c r="AM6" i="2"/>
  <c r="AM8" i="2" s="1"/>
  <c r="AA6" i="2"/>
  <c r="AA8" i="2" s="1"/>
  <c r="AG6" i="2"/>
  <c r="AG8" i="2" s="1"/>
  <c r="AA1" i="2"/>
  <c r="AM1" i="2"/>
  <c r="AH1" i="2"/>
  <c r="AC1" i="2"/>
  <c r="AI1" i="2"/>
  <c r="AB1" i="2"/>
  <c r="Y1" i="2"/>
  <c r="AN1" i="2"/>
  <c r="AK1" i="2"/>
  <c r="AD1" i="2"/>
  <c r="AJ1" i="2"/>
  <c r="AE1" i="2"/>
  <c r="Z1" i="2"/>
  <c r="AL1" i="2"/>
  <c r="AF1" i="2"/>
  <c r="AG1" i="2"/>
  <c r="AF5" i="2"/>
  <c r="AL5" i="2"/>
  <c r="Z5" i="2"/>
  <c r="AE5" i="2"/>
  <c r="AJ5" i="2"/>
  <c r="AD5" i="2"/>
  <c r="AK5" i="2"/>
  <c r="AN5" i="2"/>
  <c r="Y5" i="2"/>
  <c r="AB5" i="2"/>
  <c r="AI5" i="2"/>
  <c r="AC5" i="2"/>
  <c r="AH5" i="2"/>
  <c r="AM5" i="2"/>
  <c r="AA5" i="2"/>
  <c r="AG5" i="2"/>
  <c r="AF4" i="2"/>
  <c r="AL4" i="2"/>
  <c r="Z4" i="2"/>
  <c r="AE4" i="2"/>
  <c r="AJ4" i="2"/>
  <c r="AD4" i="2"/>
  <c r="AK4" i="2"/>
  <c r="AN4" i="2"/>
  <c r="Y4" i="2"/>
  <c r="AB4" i="2"/>
  <c r="AI4" i="2"/>
  <c r="AC4" i="2"/>
  <c r="AH4" i="2"/>
  <c r="AM4" i="2"/>
  <c r="AA4" i="2"/>
  <c r="AG4" i="2"/>
  <c r="AF3" i="2"/>
  <c r="AL3" i="2"/>
  <c r="Z3" i="2"/>
  <c r="AE3" i="2"/>
  <c r="AJ3" i="2"/>
  <c r="AD3" i="2"/>
  <c r="AK3" i="2"/>
  <c r="AN3" i="2"/>
  <c r="Y3" i="2"/>
  <c r="AB3" i="2"/>
  <c r="AI3" i="2"/>
  <c r="AC3" i="2"/>
  <c r="AH3" i="2"/>
  <c r="AM3" i="2"/>
  <c r="AA3" i="2"/>
  <c r="AG3" i="2"/>
  <c r="AF2" i="2"/>
  <c r="AL2" i="2"/>
  <c r="Z2" i="2"/>
  <c r="AE2" i="2"/>
  <c r="AJ2" i="2"/>
  <c r="AD2" i="2"/>
  <c r="AK2" i="2"/>
  <c r="AN2" i="2"/>
  <c r="Y2" i="2"/>
  <c r="AB2" i="2"/>
  <c r="AI2" i="2"/>
  <c r="AC2" i="2"/>
  <c r="AH2" i="2"/>
  <c r="AM2" i="2"/>
  <c r="AA2" i="2"/>
  <c r="AG2" i="2"/>
  <c r="P6" i="2"/>
  <c r="P8" i="2" s="1"/>
  <c r="P2" i="2"/>
  <c r="P3" i="2"/>
  <c r="P4" i="2"/>
  <c r="P5" i="2"/>
  <c r="V6" i="2"/>
  <c r="V8" i="2" s="1"/>
  <c r="V2" i="2"/>
  <c r="V3" i="2"/>
  <c r="V4" i="2"/>
  <c r="J6" i="2"/>
  <c r="J8" i="2" s="1"/>
  <c r="J2" i="2"/>
  <c r="J3" i="2"/>
  <c r="J5" i="2"/>
  <c r="O6" i="2"/>
  <c r="O8" i="2" s="1"/>
  <c r="O2" i="2"/>
  <c r="O4" i="2"/>
  <c r="O5" i="2"/>
  <c r="T6" i="2"/>
  <c r="T8" i="2" s="1"/>
  <c r="T3" i="2"/>
  <c r="T4" i="2"/>
  <c r="T5" i="2"/>
  <c r="N6" i="2"/>
  <c r="N8" i="2" s="1"/>
  <c r="N2" i="2"/>
  <c r="N3" i="2"/>
  <c r="U6" i="2"/>
  <c r="U8" i="2" s="1"/>
  <c r="U2" i="2"/>
  <c r="U4" i="2"/>
  <c r="X6" i="2"/>
  <c r="X8" i="2" s="1"/>
  <c r="X3" i="2"/>
  <c r="X4" i="2"/>
  <c r="I6" i="2"/>
  <c r="I8" i="2" s="1"/>
  <c r="I2" i="2"/>
  <c r="I5" i="2"/>
  <c r="L6" i="2"/>
  <c r="L8" i="2" s="1"/>
  <c r="L3" i="2"/>
  <c r="L5" i="2"/>
  <c r="S6" i="2"/>
  <c r="S8" i="2" s="1"/>
  <c r="S4" i="2"/>
  <c r="S5" i="2"/>
  <c r="M6" i="2"/>
  <c r="M8" i="2" s="1"/>
  <c r="M2" i="2"/>
  <c r="R6" i="2"/>
  <c r="R8" i="2" s="1"/>
  <c r="R3" i="2"/>
  <c r="W6" i="2"/>
  <c r="W8" i="2" s="1"/>
  <c r="W4" i="2"/>
  <c r="K6" i="2"/>
  <c r="K8" i="2" s="1"/>
  <c r="Q6" i="2"/>
  <c r="Q8" i="2" s="1"/>
  <c r="K5" i="2"/>
  <c r="K1" i="2"/>
  <c r="W1" i="2"/>
  <c r="R1" i="2"/>
  <c r="M1" i="2"/>
  <c r="S1" i="2"/>
  <c r="L1" i="2"/>
  <c r="I1" i="2"/>
  <c r="X1" i="2"/>
  <c r="U1" i="2"/>
  <c r="N1" i="2"/>
  <c r="T1" i="2"/>
  <c r="O1" i="2"/>
  <c r="J1" i="2"/>
  <c r="V1" i="2"/>
  <c r="P1" i="2"/>
  <c r="K2" i="2"/>
  <c r="W2" i="2"/>
  <c r="R2" i="2"/>
  <c r="S2" i="2"/>
  <c r="L2" i="2"/>
  <c r="X2" i="2"/>
  <c r="T2" i="2"/>
  <c r="K3" i="2"/>
  <c r="W3" i="2"/>
  <c r="M3" i="2"/>
  <c r="S3" i="2"/>
  <c r="I3" i="2"/>
  <c r="U3" i="2"/>
  <c r="O3" i="2"/>
  <c r="K4" i="2"/>
  <c r="R4" i="2"/>
  <c r="M4" i="2"/>
  <c r="L4" i="2"/>
  <c r="I4" i="2"/>
  <c r="N4" i="2"/>
  <c r="J4" i="2"/>
  <c r="W5" i="2"/>
  <c r="R5" i="2"/>
  <c r="M5" i="2"/>
  <c r="X5" i="2"/>
  <c r="U5" i="2"/>
  <c r="N5" i="2"/>
  <c r="V5" i="2"/>
  <c r="Q2" i="2"/>
  <c r="Q3" i="2"/>
  <c r="Q4" i="2"/>
  <c r="Q5" i="2"/>
  <c r="Q1" i="2"/>
  <c r="B9" i="4" l="1"/>
  <c r="B11" i="4" s="1"/>
  <c r="B10" i="2"/>
  <c r="B11" i="2" s="1"/>
</calcChain>
</file>

<file path=xl/sharedStrings.xml><?xml version="1.0" encoding="utf-8"?>
<sst xmlns="http://schemas.openxmlformats.org/spreadsheetml/2006/main" count="74" uniqueCount="19">
  <si>
    <t>Match A - Team 1</t>
  </si>
  <si>
    <t>Match B - Team 1</t>
  </si>
  <si>
    <t>Match C - Team 1</t>
  </si>
  <si>
    <t>Match D - Team 1</t>
  </si>
  <si>
    <t>Match E - Team 1</t>
  </si>
  <si>
    <t>Total misé</t>
  </si>
  <si>
    <t>Espérance</t>
  </si>
  <si>
    <t>Gain espéré</t>
  </si>
  <si>
    <t>GO</t>
  </si>
  <si>
    <t>SLY</t>
  </si>
  <si>
    <t>OPL</t>
  </si>
  <si>
    <t>ME</t>
  </si>
  <si>
    <t>VITB</t>
  </si>
  <si>
    <t>LDLC</t>
  </si>
  <si>
    <t>GW</t>
  </si>
  <si>
    <t>KC</t>
  </si>
  <si>
    <t>MSFP</t>
  </si>
  <si>
    <t>BDSA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</si>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</sst>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2000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" fontId="1" fillId="2" borderId="3" xfId="1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0" fillId="0" borderId="0" xfId="0" applyNumberFormat="1"/>
    <xf numFmtId="2" fontId="5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2" fontId="1" fillId="2" borderId="2" xfId="1" applyNumberFormat="1" applyBorder="1" applyAlignment="1">
      <alignment horizontal="center" vertical="center"/>
    </xf>
  </cellXfs>
  <cellStyles count="2">
    <cellStyle name="Neutre" xfId="1" builtinId="28"/>
    <cellStyle name="Normal" xfId="0" builtinId="0"/>
  </cellStyles>
  <dxfs count="0"/>
  <tableStyles count="0" defaultTableStyle="TableStyleMedium2" defaultPivotStyle="PivotStyleLight16"/>
  <colors>
    <mruColors>
      <color rgb="FF820000"/>
      <color rgb="FFF4D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7</xdr:row>
          <xdr:rowOff>47625</xdr:rowOff>
        </xdr:from>
        <xdr:to>
          <xdr:col>6</xdr:col>
          <xdr:colOff>723900</xdr:colOff>
          <xdr:row>12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123825</xdr:rowOff>
        </xdr:from>
        <xdr:to>
          <xdr:col>6</xdr:col>
          <xdr:colOff>752475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AN11"/>
  <sheetViews>
    <sheetView topLeftCell="B1" workbookViewId="0">
      <selection activeCell="A9" sqref="A9:B11"/>
    </sheetView>
  </sheetViews>
  <sheetFormatPr baseColWidth="10" defaultRowHeight="15" x14ac:dyDescent="0.25"/>
  <cols>
    <col min="1" max="1" width="19.7109375" customWidth="1"/>
    <col min="2" max="2" width="25.7109375" customWidth="1"/>
    <col min="5" max="5" width="18.28515625" customWidth="1"/>
  </cols>
  <sheetData>
    <row r="1" spans="1:40" x14ac:dyDescent="0.25">
      <c r="A1" t="s">
        <v>0</v>
      </c>
      <c r="B1" t="s">
        <v>8</v>
      </c>
      <c r="C1">
        <v>2.87</v>
      </c>
      <c r="E1" t="s">
        <v>0</v>
      </c>
      <c r="F1" t="s">
        <v>17</v>
      </c>
      <c r="G1">
        <v>1.39</v>
      </c>
      <c r="I1" s="1" t="str">
        <f>$B1</f>
        <v>GO</v>
      </c>
      <c r="J1" s="1" t="str">
        <f>$B1</f>
        <v>GO</v>
      </c>
      <c r="K1" s="1" t="str">
        <f>$B1</f>
        <v>GO</v>
      </c>
      <c r="L1" s="1" t="str">
        <f>$B1</f>
        <v>GO</v>
      </c>
      <c r="M1" s="1" t="str">
        <f>$B1</f>
        <v>GO</v>
      </c>
      <c r="N1" s="1" t="str">
        <f>$B1</f>
        <v>GO</v>
      </c>
      <c r="O1" s="1" t="str">
        <f>$B1</f>
        <v>GO</v>
      </c>
      <c r="P1" s="1" t="str">
        <f>$B1</f>
        <v>GO</v>
      </c>
      <c r="Q1" s="1" t="str">
        <f>$B1</f>
        <v>GO</v>
      </c>
      <c r="R1" s="1" t="str">
        <f>$B1</f>
        <v>GO</v>
      </c>
      <c r="S1" s="1" t="str">
        <f>$B1</f>
        <v>GO</v>
      </c>
      <c r="T1" s="1" t="str">
        <f>$B1</f>
        <v>GO</v>
      </c>
      <c r="U1" s="1" t="str">
        <f>$B1</f>
        <v>GO</v>
      </c>
      <c r="V1" s="1" t="str">
        <f>$B1</f>
        <v>GO</v>
      </c>
      <c r="W1" s="1" t="str">
        <f>$B1</f>
        <v>GO</v>
      </c>
      <c r="X1" s="1" t="str">
        <f>$B1</f>
        <v>GO</v>
      </c>
      <c r="Y1" s="2" t="str">
        <f>$F1</f>
        <v>BDSA</v>
      </c>
      <c r="Z1" s="2" t="str">
        <f>$F1</f>
        <v>BDSA</v>
      </c>
      <c r="AA1" s="2" t="str">
        <f>$F1</f>
        <v>BDSA</v>
      </c>
      <c r="AB1" s="2" t="str">
        <f>$F1</f>
        <v>BDSA</v>
      </c>
      <c r="AC1" s="2" t="str">
        <f>$F1</f>
        <v>BDSA</v>
      </c>
      <c r="AD1" s="2" t="str">
        <f>$F1</f>
        <v>BDSA</v>
      </c>
      <c r="AE1" s="2" t="str">
        <f>$F1</f>
        <v>BDSA</v>
      </c>
      <c r="AF1" s="2" t="str">
        <f>$F1</f>
        <v>BDSA</v>
      </c>
      <c r="AG1" s="2" t="str">
        <f>$F1</f>
        <v>BDSA</v>
      </c>
      <c r="AH1" s="2" t="str">
        <f>$F1</f>
        <v>BDSA</v>
      </c>
      <c r="AI1" s="2" t="str">
        <f>$F1</f>
        <v>BDSA</v>
      </c>
      <c r="AJ1" s="2" t="str">
        <f>$F1</f>
        <v>BDSA</v>
      </c>
      <c r="AK1" s="2" t="str">
        <f>$F1</f>
        <v>BDSA</v>
      </c>
      <c r="AL1" s="2" t="str">
        <f>$F1</f>
        <v>BDSA</v>
      </c>
      <c r="AM1" s="2" t="str">
        <f>$F1</f>
        <v>BDSA</v>
      </c>
      <c r="AN1" s="2" t="str">
        <f>$F1</f>
        <v>BDSA</v>
      </c>
    </row>
    <row r="2" spans="1:40" x14ac:dyDescent="0.25">
      <c r="A2" t="s">
        <v>1</v>
      </c>
      <c r="B2" t="s">
        <v>9</v>
      </c>
      <c r="C2">
        <v>1.79</v>
      </c>
      <c r="E2" t="s">
        <v>1</v>
      </c>
      <c r="F2" t="s">
        <v>16</v>
      </c>
      <c r="G2">
        <v>1.92</v>
      </c>
      <c r="I2" s="2" t="str">
        <f>$F2</f>
        <v>MSFP</v>
      </c>
      <c r="J2" s="2" t="str">
        <f>$F2</f>
        <v>MSFP</v>
      </c>
      <c r="K2" s="1" t="str">
        <f>$B2</f>
        <v>SLY</v>
      </c>
      <c r="L2" s="1" t="str">
        <f>$B2</f>
        <v>SLY</v>
      </c>
      <c r="M2" s="2" t="str">
        <f>$F2</f>
        <v>MSFP</v>
      </c>
      <c r="N2" s="2" t="str">
        <f>$F2</f>
        <v>MSFP</v>
      </c>
      <c r="O2" s="2" t="str">
        <f>$F2</f>
        <v>MSFP</v>
      </c>
      <c r="P2" s="2" t="str">
        <f>$F2</f>
        <v>MSFP</v>
      </c>
      <c r="Q2" s="1" t="str">
        <f>$B2</f>
        <v>SLY</v>
      </c>
      <c r="R2" s="1" t="str">
        <f>$B2</f>
        <v>SLY</v>
      </c>
      <c r="S2" s="1" t="str">
        <f>$B2</f>
        <v>SLY</v>
      </c>
      <c r="T2" s="1" t="str">
        <f>$B2</f>
        <v>SLY</v>
      </c>
      <c r="U2" s="2" t="str">
        <f>$F2</f>
        <v>MSFP</v>
      </c>
      <c r="V2" s="2" t="str">
        <f>$F2</f>
        <v>MSFP</v>
      </c>
      <c r="W2" s="1" t="str">
        <f>$B2</f>
        <v>SLY</v>
      </c>
      <c r="X2" s="1" t="str">
        <f>$B2</f>
        <v>SLY</v>
      </c>
      <c r="Y2" s="2" t="str">
        <f>$F2</f>
        <v>MSFP</v>
      </c>
      <c r="Z2" s="2" t="str">
        <f>$F2</f>
        <v>MSFP</v>
      </c>
      <c r="AA2" s="1" t="str">
        <f>$B2</f>
        <v>SLY</v>
      </c>
      <c r="AB2" s="1" t="str">
        <f>$B2</f>
        <v>SLY</v>
      </c>
      <c r="AC2" s="2" t="str">
        <f>$F2</f>
        <v>MSFP</v>
      </c>
      <c r="AD2" s="2" t="str">
        <f>$F2</f>
        <v>MSFP</v>
      </c>
      <c r="AE2" s="2" t="str">
        <f>$F2</f>
        <v>MSFP</v>
      </c>
      <c r="AF2" s="2" t="str">
        <f>$F2</f>
        <v>MSFP</v>
      </c>
      <c r="AG2" s="1" t="str">
        <f>$B2</f>
        <v>SLY</v>
      </c>
      <c r="AH2" s="1" t="str">
        <f>$B2</f>
        <v>SLY</v>
      </c>
      <c r="AI2" s="1" t="str">
        <f>$B2</f>
        <v>SLY</v>
      </c>
      <c r="AJ2" s="1" t="str">
        <f>$B2</f>
        <v>SLY</v>
      </c>
      <c r="AK2" s="2" t="str">
        <f>$F2</f>
        <v>MSFP</v>
      </c>
      <c r="AL2" s="2" t="str">
        <f>$F2</f>
        <v>MSFP</v>
      </c>
      <c r="AM2" s="1" t="str">
        <f>$B2</f>
        <v>SLY</v>
      </c>
      <c r="AN2" s="1" t="str">
        <f>$B2</f>
        <v>SLY</v>
      </c>
    </row>
    <row r="3" spans="1:40" x14ac:dyDescent="0.25">
      <c r="A3" t="s">
        <v>2</v>
      </c>
      <c r="B3" t="s">
        <v>10</v>
      </c>
      <c r="C3">
        <v>1</v>
      </c>
      <c r="E3" t="s">
        <v>2</v>
      </c>
      <c r="F3" t="s">
        <v>15</v>
      </c>
      <c r="G3">
        <v>1</v>
      </c>
      <c r="I3" s="1" t="str">
        <f>$B3</f>
        <v>OPL</v>
      </c>
      <c r="J3" s="2" t="str">
        <f>$F3</f>
        <v>KC</v>
      </c>
      <c r="K3" s="1" t="str">
        <f>$B3</f>
        <v>OPL</v>
      </c>
      <c r="L3" s="2" t="str">
        <f>$F3</f>
        <v>KC</v>
      </c>
      <c r="M3" s="1" t="str">
        <f>$B3</f>
        <v>OPL</v>
      </c>
      <c r="N3" s="2" t="str">
        <f>$F3</f>
        <v>KC</v>
      </c>
      <c r="O3" s="1" t="str">
        <f>$B3</f>
        <v>OPL</v>
      </c>
      <c r="P3" s="2" t="str">
        <f>$F3</f>
        <v>KC</v>
      </c>
      <c r="Q3" s="1" t="str">
        <f>$B3</f>
        <v>OPL</v>
      </c>
      <c r="R3" s="2" t="str">
        <f>$F3</f>
        <v>KC</v>
      </c>
      <c r="S3" s="1" t="str">
        <f>$B3</f>
        <v>OPL</v>
      </c>
      <c r="T3" s="2" t="str">
        <f>$F3</f>
        <v>KC</v>
      </c>
      <c r="U3" s="1" t="str">
        <f>$B3</f>
        <v>OPL</v>
      </c>
      <c r="V3" s="2" t="str">
        <f>$F3</f>
        <v>KC</v>
      </c>
      <c r="W3" s="1" t="str">
        <f>$B3</f>
        <v>OPL</v>
      </c>
      <c r="X3" s="2" t="str">
        <f>$F3</f>
        <v>KC</v>
      </c>
      <c r="Y3" s="1" t="str">
        <f>$B3</f>
        <v>OPL</v>
      </c>
      <c r="Z3" s="2" t="str">
        <f>$F3</f>
        <v>KC</v>
      </c>
      <c r="AA3" s="1" t="str">
        <f>$B3</f>
        <v>OPL</v>
      </c>
      <c r="AB3" s="2" t="str">
        <f>$F3</f>
        <v>KC</v>
      </c>
      <c r="AC3" s="1" t="str">
        <f>$B3</f>
        <v>OPL</v>
      </c>
      <c r="AD3" s="2" t="str">
        <f>$F3</f>
        <v>KC</v>
      </c>
      <c r="AE3" s="1" t="str">
        <f>$B3</f>
        <v>OPL</v>
      </c>
      <c r="AF3" s="2" t="str">
        <f>$F3</f>
        <v>KC</v>
      </c>
      <c r="AG3" s="1" t="str">
        <f>$B3</f>
        <v>OPL</v>
      </c>
      <c r="AH3" s="2" t="str">
        <f>$F3</f>
        <v>KC</v>
      </c>
      <c r="AI3" s="1" t="str">
        <f>$B3</f>
        <v>OPL</v>
      </c>
      <c r="AJ3" s="2" t="str">
        <f>$F3</f>
        <v>KC</v>
      </c>
      <c r="AK3" s="1" t="str">
        <f>$B3</f>
        <v>OPL</v>
      </c>
      <c r="AL3" s="2" t="str">
        <f>$F3</f>
        <v>KC</v>
      </c>
      <c r="AM3" s="1" t="str">
        <f>$B3</f>
        <v>OPL</v>
      </c>
      <c r="AN3" s="2" t="str">
        <f>$F3</f>
        <v>KC</v>
      </c>
    </row>
    <row r="4" spans="1:40" x14ac:dyDescent="0.25">
      <c r="A4" t="s">
        <v>3</v>
      </c>
      <c r="B4" t="s">
        <v>11</v>
      </c>
      <c r="C4">
        <v>2.06</v>
      </c>
      <c r="E4" t="s">
        <v>3</v>
      </c>
      <c r="F4" t="s">
        <v>14</v>
      </c>
      <c r="G4">
        <v>1.71</v>
      </c>
      <c r="I4" s="1" t="str">
        <f>$B4</f>
        <v>ME</v>
      </c>
      <c r="J4" s="1" t="str">
        <f>$B4</f>
        <v>ME</v>
      </c>
      <c r="K4" s="1" t="str">
        <f>$B4</f>
        <v>ME</v>
      </c>
      <c r="L4" s="1" t="str">
        <f>$B4</f>
        <v>ME</v>
      </c>
      <c r="M4" s="1" t="str">
        <f>$B4</f>
        <v>ME</v>
      </c>
      <c r="N4" s="1" t="str">
        <f>$B4</f>
        <v>ME</v>
      </c>
      <c r="O4" s="2" t="str">
        <f>$F4</f>
        <v>GW</v>
      </c>
      <c r="P4" s="2" t="str">
        <f>$F4</f>
        <v>GW</v>
      </c>
      <c r="Q4" s="1" t="str">
        <f>$B4</f>
        <v>ME</v>
      </c>
      <c r="R4" s="1" t="str">
        <f>$B4</f>
        <v>ME</v>
      </c>
      <c r="S4" s="2" t="str">
        <f>$F4</f>
        <v>GW</v>
      </c>
      <c r="T4" s="2" t="str">
        <f>$F4</f>
        <v>GW</v>
      </c>
      <c r="U4" s="2" t="str">
        <f>$F4</f>
        <v>GW</v>
      </c>
      <c r="V4" s="2" t="str">
        <f>$F4</f>
        <v>GW</v>
      </c>
      <c r="W4" s="2" t="str">
        <f>$F4</f>
        <v>GW</v>
      </c>
      <c r="X4" s="2" t="str">
        <f>$F4</f>
        <v>GW</v>
      </c>
      <c r="Y4" s="1" t="str">
        <f>$B4</f>
        <v>ME</v>
      </c>
      <c r="Z4" s="1" t="str">
        <f>$B4</f>
        <v>ME</v>
      </c>
      <c r="AA4" s="1" t="str">
        <f>$B4</f>
        <v>ME</v>
      </c>
      <c r="AB4" s="1" t="str">
        <f>$B4</f>
        <v>ME</v>
      </c>
      <c r="AC4" s="1" t="str">
        <f>$B4</f>
        <v>ME</v>
      </c>
      <c r="AD4" s="1" t="str">
        <f>$B4</f>
        <v>ME</v>
      </c>
      <c r="AE4" s="2" t="str">
        <f>$F4</f>
        <v>GW</v>
      </c>
      <c r="AF4" s="2" t="str">
        <f>$F4</f>
        <v>GW</v>
      </c>
      <c r="AG4" s="1" t="str">
        <f>$B4</f>
        <v>ME</v>
      </c>
      <c r="AH4" s="1" t="str">
        <f>$B4</f>
        <v>ME</v>
      </c>
      <c r="AI4" s="2" t="str">
        <f>$F4</f>
        <v>GW</v>
      </c>
      <c r="AJ4" s="2" t="str">
        <f>$F4</f>
        <v>GW</v>
      </c>
      <c r="AK4" s="2" t="str">
        <f>$F4</f>
        <v>GW</v>
      </c>
      <c r="AL4" s="2" t="str">
        <f>$F4</f>
        <v>GW</v>
      </c>
      <c r="AM4" s="2" t="str">
        <f>$F4</f>
        <v>GW</v>
      </c>
      <c r="AN4" s="2" t="str">
        <f>$F4</f>
        <v>GW</v>
      </c>
    </row>
    <row r="5" spans="1:40" ht="15.75" thickBot="1" x14ac:dyDescent="0.3">
      <c r="A5" t="s">
        <v>4</v>
      </c>
      <c r="B5" t="s">
        <v>12</v>
      </c>
      <c r="C5">
        <v>1.72</v>
      </c>
      <c r="E5" t="s">
        <v>4</v>
      </c>
      <c r="F5" t="s">
        <v>13</v>
      </c>
      <c r="G5">
        <v>2.0299999999999998</v>
      </c>
      <c r="I5" s="6" t="str">
        <f>$F5</f>
        <v>LDLC</v>
      </c>
      <c r="J5" s="6" t="str">
        <f>$F5</f>
        <v>LDLC</v>
      </c>
      <c r="K5" s="6" t="str">
        <f>$F5</f>
        <v>LDLC</v>
      </c>
      <c r="L5" s="6" t="str">
        <f>$F5</f>
        <v>LDLC</v>
      </c>
      <c r="M5" s="5" t="str">
        <f>$B5</f>
        <v>VITB</v>
      </c>
      <c r="N5" s="5" t="str">
        <f>$B5</f>
        <v>VITB</v>
      </c>
      <c r="O5" s="6" t="str">
        <f>$F5</f>
        <v>LDLC</v>
      </c>
      <c r="P5" s="6" t="str">
        <f>$F5</f>
        <v>LDLC</v>
      </c>
      <c r="Q5" s="5" t="str">
        <f>$B5</f>
        <v>VITB</v>
      </c>
      <c r="R5" s="5" t="str">
        <f>$B5</f>
        <v>VITB</v>
      </c>
      <c r="S5" s="6" t="str">
        <f>$F5</f>
        <v>LDLC</v>
      </c>
      <c r="T5" s="6" t="str">
        <f>$F5</f>
        <v>LDLC</v>
      </c>
      <c r="U5" s="5" t="str">
        <f>$B5</f>
        <v>VITB</v>
      </c>
      <c r="V5" s="5" t="str">
        <f>$B5</f>
        <v>VITB</v>
      </c>
      <c r="W5" s="5" t="str">
        <f>$B5</f>
        <v>VITB</v>
      </c>
      <c r="X5" s="5" t="str">
        <f>$B5</f>
        <v>VITB</v>
      </c>
      <c r="Y5" s="6" t="str">
        <f>$F5</f>
        <v>LDLC</v>
      </c>
      <c r="Z5" s="6" t="str">
        <f>$F5</f>
        <v>LDLC</v>
      </c>
      <c r="AA5" s="6" t="str">
        <f>$F5</f>
        <v>LDLC</v>
      </c>
      <c r="AB5" s="6" t="str">
        <f>$F5</f>
        <v>LDLC</v>
      </c>
      <c r="AC5" s="5" t="str">
        <f>$B5</f>
        <v>VITB</v>
      </c>
      <c r="AD5" s="5" t="str">
        <f>$B5</f>
        <v>VITB</v>
      </c>
      <c r="AE5" s="6" t="str">
        <f>$F5</f>
        <v>LDLC</v>
      </c>
      <c r="AF5" s="6" t="str">
        <f>$F5</f>
        <v>LDLC</v>
      </c>
      <c r="AG5" s="5" t="str">
        <f>$B5</f>
        <v>VITB</v>
      </c>
      <c r="AH5" s="5" t="str">
        <f>$B5</f>
        <v>VITB</v>
      </c>
      <c r="AI5" s="6" t="str">
        <f>$F5</f>
        <v>LDLC</v>
      </c>
      <c r="AJ5" s="6" t="str">
        <f>$F5</f>
        <v>LDLC</v>
      </c>
      <c r="AK5" s="5" t="str">
        <f>$B5</f>
        <v>VITB</v>
      </c>
      <c r="AL5" s="5" t="str">
        <f>$B5</f>
        <v>VITB</v>
      </c>
      <c r="AM5" s="5" t="str">
        <f>$B5</f>
        <v>VITB</v>
      </c>
      <c r="AN5" s="5" t="str">
        <f>$B5</f>
        <v>VITB</v>
      </c>
    </row>
    <row r="6" spans="1:40" x14ac:dyDescent="0.25">
      <c r="I6" s="4">
        <f>$C1*$G2*$C3*$C4*$G5</f>
        <v>23.043390719999998</v>
      </c>
      <c r="J6" s="4">
        <f>$C1*$G2*$G3*$C4*$G5</f>
        <v>23.043390719999998</v>
      </c>
      <c r="K6" s="4">
        <f>$C1*$C2*$C3*$C4*$G5</f>
        <v>21.483161140000004</v>
      </c>
      <c r="L6" s="4">
        <f>$C1*$C2*$G3*$C4*$G5</f>
        <v>21.483161140000004</v>
      </c>
      <c r="M6" s="4">
        <f>$C1*$G2*$C3*$C4*$C5</f>
        <v>19.524449279999999</v>
      </c>
      <c r="N6" s="4">
        <f>$C1*$G2*$G3*$C4*$C5</f>
        <v>19.524449279999999</v>
      </c>
      <c r="O6" s="4">
        <f>$C1*$G2*$C3*$G4*$G5</f>
        <v>19.128251519999999</v>
      </c>
      <c r="P6" s="4">
        <f>$C1*$G2*$G3*$G4*$G5</f>
        <v>19.128251519999999</v>
      </c>
      <c r="Q6" s="4">
        <f>$C1*$C2*$C3*$C4*$C5</f>
        <v>18.202481360000004</v>
      </c>
      <c r="R6" s="4">
        <f>$C1*$C2*$G3*$C4*$C5</f>
        <v>18.202481360000004</v>
      </c>
      <c r="S6" s="4">
        <f>$C1*$C2*$C3*$G4*$G5</f>
        <v>17.833109490000002</v>
      </c>
      <c r="T6" s="4">
        <f>$C1*$C2*$G3*$G4*$G5</f>
        <v>17.833109490000002</v>
      </c>
      <c r="U6" s="4">
        <f>$C1*$G2*$C3*$G4*$C5</f>
        <v>16.207188479999999</v>
      </c>
      <c r="V6" s="4">
        <f>$C1*$G2*$G3*$G4*$C5</f>
        <v>16.207188479999999</v>
      </c>
      <c r="W6" s="4">
        <f>$C1*$C2*$C3*$G4*$C5</f>
        <v>15.109826760000001</v>
      </c>
      <c r="X6" s="4">
        <f>$C1*$C2*$G3*$G4*$C5</f>
        <v>15.109826760000001</v>
      </c>
      <c r="Y6" s="4">
        <f>$G1*$G2*$C3*$C4*$G5</f>
        <v>11.160387839999999</v>
      </c>
      <c r="Z6" s="4">
        <f>$G1*$G2*$G3*$C4*$G5</f>
        <v>11.160387839999999</v>
      </c>
      <c r="AA6" s="4">
        <f>$G1*$C2*$C3*$C4*$G5</f>
        <v>10.404736579999998</v>
      </c>
      <c r="AB6" s="4">
        <f>$G1*$C2*$G3*$C4*$G5</f>
        <v>10.404736579999998</v>
      </c>
      <c r="AC6" s="4">
        <f>$G1*$G2*$C3*$C4*$C5</f>
        <v>9.456092159999999</v>
      </c>
      <c r="AD6" s="4">
        <f>$G1*$G2*$G3*$C4*$C5</f>
        <v>9.456092159999999</v>
      </c>
      <c r="AE6" s="4">
        <f>$G1*$G2*$C3*$G4*$G5</f>
        <v>9.264205439999996</v>
      </c>
      <c r="AF6" s="4">
        <f>$G1*$G2*$G3*$G4*$G5</f>
        <v>9.264205439999996</v>
      </c>
      <c r="AG6" s="4">
        <f>$G1*$C2*$C3*$C4*$C5</f>
        <v>8.8158359199999996</v>
      </c>
      <c r="AH6" s="4">
        <f>$G1*$C2*$G3*$C4*$C5</f>
        <v>8.8158359199999996</v>
      </c>
      <c r="AI6" s="4">
        <f>$G1*$C2*$C3*$G4*$G5</f>
        <v>8.6369415299999979</v>
      </c>
      <c r="AJ6" s="4">
        <f>$G1*$C2*$G3*$G4*$G5</f>
        <v>8.6369415299999979</v>
      </c>
      <c r="AK6" s="4">
        <f>$G1*$G2*$C3*$G4*$C5</f>
        <v>7.8494745599999982</v>
      </c>
      <c r="AL6" s="4">
        <f>$G1*$G2*$G3*$G4*$C5</f>
        <v>7.8494745599999982</v>
      </c>
      <c r="AM6" s="4">
        <f>$G1*$C2*$C3*$G4*$C5</f>
        <v>7.3179997199999987</v>
      </c>
      <c r="AN6" s="4">
        <f>$G1*$C2*$G3*$G4*$C5</f>
        <v>7.3179997199999987</v>
      </c>
    </row>
    <row r="7" spans="1:40" x14ac:dyDescent="0.25"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x14ac:dyDescent="0.25">
      <c r="I8" s="8">
        <f>I7*I6</f>
        <v>0</v>
      </c>
      <c r="J8" s="8">
        <f>J7*J6</f>
        <v>0</v>
      </c>
      <c r="K8" s="8">
        <f>K7*K6</f>
        <v>0</v>
      </c>
      <c r="L8" s="8">
        <f>L7*L6</f>
        <v>0</v>
      </c>
      <c r="M8" s="8">
        <f>M7*M6</f>
        <v>0</v>
      </c>
      <c r="N8" s="8">
        <f>N7*N6</f>
        <v>0</v>
      </c>
      <c r="O8" s="8">
        <f>O7*O6</f>
        <v>0</v>
      </c>
      <c r="P8" s="8">
        <f>P7*P6</f>
        <v>0</v>
      </c>
      <c r="Q8" s="8">
        <f>Q7*Q6</f>
        <v>0</v>
      </c>
      <c r="R8" s="8">
        <f>R7*R6</f>
        <v>0</v>
      </c>
      <c r="S8" s="8">
        <f>S7*S6</f>
        <v>0</v>
      </c>
      <c r="T8" s="8">
        <f>T7*T6</f>
        <v>0</v>
      </c>
      <c r="U8" s="8">
        <f>U7*U6</f>
        <v>0</v>
      </c>
      <c r="V8" s="8">
        <f>V7*V6</f>
        <v>0</v>
      </c>
      <c r="W8" s="8">
        <f>W7*W6</f>
        <v>0</v>
      </c>
      <c r="X8" s="8">
        <f>X7*X6</f>
        <v>0</v>
      </c>
      <c r="Y8" s="8">
        <f>Y7*Y6</f>
        <v>0</v>
      </c>
      <c r="Z8" s="8">
        <f>Z7*Z6</f>
        <v>0</v>
      </c>
      <c r="AA8" s="8">
        <f>AA7*AA6</f>
        <v>0</v>
      </c>
      <c r="AB8" s="8">
        <f>AB7*AB6</f>
        <v>0</v>
      </c>
      <c r="AC8" s="8">
        <f>AC7*AC6</f>
        <v>0</v>
      </c>
      <c r="AD8" s="8">
        <f>AD7*AD6</f>
        <v>0</v>
      </c>
      <c r="AE8" s="8">
        <f>AE7*AE6</f>
        <v>0</v>
      </c>
      <c r="AF8" s="8">
        <f>AF7*AF6</f>
        <v>0</v>
      </c>
      <c r="AG8" s="8">
        <f>AG7*AG6</f>
        <v>0</v>
      </c>
      <c r="AH8" s="8">
        <f>AH7*AH6</f>
        <v>0</v>
      </c>
      <c r="AI8" s="8">
        <f>AI7*AI6</f>
        <v>0</v>
      </c>
      <c r="AJ8" s="8">
        <f>AJ7*AJ6</f>
        <v>0</v>
      </c>
      <c r="AK8" s="8">
        <f>AK7*AK6</f>
        <v>0</v>
      </c>
      <c r="AL8" s="8">
        <f>AL7*AL6</f>
        <v>0</v>
      </c>
      <c r="AM8" s="8">
        <f>AM7*AM6</f>
        <v>0</v>
      </c>
      <c r="AN8" s="8">
        <f>AN7*AN6</f>
        <v>0</v>
      </c>
    </row>
    <row r="9" spans="1:40" x14ac:dyDescent="0.25">
      <c r="A9" t="s">
        <v>5</v>
      </c>
      <c r="B9">
        <f>SUM(I7:AN7)</f>
        <v>0</v>
      </c>
    </row>
    <row r="10" spans="1:40" x14ac:dyDescent="0.25">
      <c r="A10" t="s">
        <v>6</v>
      </c>
      <c r="B10">
        <f>SUM(I8:AN8)/32</f>
        <v>0</v>
      </c>
    </row>
    <row r="11" spans="1:40" x14ac:dyDescent="0.25">
      <c r="A11" t="s">
        <v>7</v>
      </c>
      <c r="B11" s="7">
        <f>B10-B9</f>
        <v>0</v>
      </c>
    </row>
  </sheetData>
  <sortState xmlns:xlrd2="http://schemas.microsoft.com/office/spreadsheetml/2017/richdata2" columnSort="1" ref="I1:AN8">
    <sortCondition descending="1" ref="I6:AN6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final">
                <anchor moveWithCells="1" sizeWithCells="1">
                  <from>
                    <xdr:col>4</xdr:col>
                    <xdr:colOff>95250</xdr:colOff>
                    <xdr:row>7</xdr:row>
                    <xdr:rowOff>47625</xdr:rowOff>
                  </from>
                  <to>
                    <xdr:col>6</xdr:col>
                    <xdr:colOff>723900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86BC8-E77A-444B-943E-D19D4C32F8CD}">
  <dimension ref="A1:AN11"/>
  <sheetViews>
    <sheetView tabSelected="1" workbookViewId="0">
      <selection activeCell="I18" sqref="I18"/>
    </sheetView>
  </sheetViews>
  <sheetFormatPr baseColWidth="10" defaultRowHeight="15" x14ac:dyDescent="0.25"/>
  <cols>
    <col min="1" max="1" width="20.140625" customWidth="1"/>
    <col min="5" max="5" width="21.28515625" customWidth="1"/>
  </cols>
  <sheetData>
    <row r="1" spans="1:40" x14ac:dyDescent="0.25">
      <c r="A1" t="s">
        <v>0</v>
      </c>
      <c r="B1" t="s">
        <v>8</v>
      </c>
      <c r="C1">
        <v>2.87</v>
      </c>
      <c r="E1" t="s">
        <v>0</v>
      </c>
      <c r="F1" t="s">
        <v>17</v>
      </c>
      <c r="G1">
        <v>1.39</v>
      </c>
      <c r="I1" s="1" t="str">
        <f>$B1</f>
        <v>GO</v>
      </c>
      <c r="J1" s="1" t="str">
        <f>$B1</f>
        <v>GO</v>
      </c>
      <c r="K1" s="1" t="str">
        <f>$B1</f>
        <v>GO</v>
      </c>
      <c r="L1" s="1" t="str">
        <f>$B1</f>
        <v>GO</v>
      </c>
      <c r="M1" s="1" t="str">
        <f>$B1</f>
        <v>GO</v>
      </c>
      <c r="N1" s="1" t="str">
        <f>$B1</f>
        <v>GO</v>
      </c>
      <c r="O1" s="1" t="str">
        <f>$B1</f>
        <v>GO</v>
      </c>
      <c r="P1" s="1" t="str">
        <f>$B1</f>
        <v>GO</v>
      </c>
      <c r="Q1" s="1" t="str">
        <f>$B1</f>
        <v>GO</v>
      </c>
      <c r="R1" s="1" t="str">
        <f>$B1</f>
        <v>GO</v>
      </c>
      <c r="S1" s="1" t="str">
        <f>$B1</f>
        <v>GO</v>
      </c>
      <c r="T1" s="1" t="str">
        <f>$B1</f>
        <v>GO</v>
      </c>
      <c r="U1" s="9" t="s">
        <v>18</v>
      </c>
      <c r="V1" s="9" t="s">
        <v>18</v>
      </c>
      <c r="W1" s="9" t="s">
        <v>18</v>
      </c>
      <c r="X1" s="9" t="s">
        <v>18</v>
      </c>
      <c r="Y1" s="9" t="s">
        <v>18</v>
      </c>
      <c r="Z1" s="9" t="s">
        <v>18</v>
      </c>
      <c r="AA1" s="2" t="str">
        <f>$F1</f>
        <v>BDSA</v>
      </c>
      <c r="AB1" s="9" t="s">
        <v>18</v>
      </c>
      <c r="AC1" s="2" t="str">
        <f>$F1</f>
        <v>BDSA</v>
      </c>
      <c r="AD1" s="2" t="str">
        <f>$F1</f>
        <v>BDSA</v>
      </c>
      <c r="AE1" s="9" t="s">
        <v>18</v>
      </c>
      <c r="AF1" s="2" t="str">
        <f>$F1</f>
        <v>BDSA</v>
      </c>
      <c r="AG1" s="2" t="str">
        <f>$F1</f>
        <v>BDSA</v>
      </c>
      <c r="AH1" s="2" t="str">
        <f>$F1</f>
        <v>BDSA</v>
      </c>
      <c r="AI1" s="2" t="str">
        <f>$F1</f>
        <v>BDSA</v>
      </c>
      <c r="AJ1" s="2" t="str">
        <f>$F1</f>
        <v>BDSA</v>
      </c>
      <c r="AK1" s="2" t="str">
        <f>$F1</f>
        <v>BDSA</v>
      </c>
      <c r="AL1" s="2" t="str">
        <f>$F1</f>
        <v>BDSA</v>
      </c>
      <c r="AM1" s="2" t="str">
        <f>$F1</f>
        <v>BDSA</v>
      </c>
      <c r="AN1" s="2" t="str">
        <f>$F1</f>
        <v>BDSA</v>
      </c>
    </row>
    <row r="2" spans="1:40" x14ac:dyDescent="0.25">
      <c r="A2" t="s">
        <v>1</v>
      </c>
      <c r="B2" t="s">
        <v>9</v>
      </c>
      <c r="C2">
        <v>1.79</v>
      </c>
      <c r="E2" t="s">
        <v>1</v>
      </c>
      <c r="F2" t="s">
        <v>16</v>
      </c>
      <c r="G2">
        <v>1.92</v>
      </c>
      <c r="I2" s="9" t="s">
        <v>18</v>
      </c>
      <c r="J2" s="2" t="str">
        <f>$F2</f>
        <v>MSFP</v>
      </c>
      <c r="K2" s="2" t="str">
        <f>$F2</f>
        <v>MSFP</v>
      </c>
      <c r="L2" s="1" t="str">
        <f>$B2</f>
        <v>SLY</v>
      </c>
      <c r="M2" s="1" t="str">
        <f>$B2</f>
        <v>SLY</v>
      </c>
      <c r="N2" s="9" t="s">
        <v>18</v>
      </c>
      <c r="O2" s="9" t="s">
        <v>18</v>
      </c>
      <c r="P2" s="2" t="str">
        <f>$F2</f>
        <v>MSFP</v>
      </c>
      <c r="Q2" s="2" t="str">
        <f>$F2</f>
        <v>MSFP</v>
      </c>
      <c r="R2" s="1" t="str">
        <f>$B2</f>
        <v>SLY</v>
      </c>
      <c r="S2" s="1" t="str">
        <f>$B2</f>
        <v>SLY</v>
      </c>
      <c r="T2" s="9" t="s">
        <v>18</v>
      </c>
      <c r="U2" s="2" t="str">
        <f>$F2</f>
        <v>MSFP</v>
      </c>
      <c r="V2" s="1" t="str">
        <f>$B2</f>
        <v>SLY</v>
      </c>
      <c r="W2" s="2" t="str">
        <f>$F2</f>
        <v>MSFP</v>
      </c>
      <c r="X2" s="2" t="str">
        <f>$F2</f>
        <v>MSFP</v>
      </c>
      <c r="Y2" s="1" t="str">
        <f>$B2</f>
        <v>SLY</v>
      </c>
      <c r="Z2" s="1" t="str">
        <f>$B2</f>
        <v>SLY</v>
      </c>
      <c r="AA2" s="9" t="s">
        <v>18</v>
      </c>
      <c r="AB2" s="2" t="str">
        <f>$F2</f>
        <v>MSFP</v>
      </c>
      <c r="AC2" s="2" t="str">
        <f>$F2</f>
        <v>MSFP</v>
      </c>
      <c r="AD2" s="2" t="str">
        <f>$F2</f>
        <v>MSFP</v>
      </c>
      <c r="AE2" s="1" t="str">
        <f>$B2</f>
        <v>SLY</v>
      </c>
      <c r="AF2" s="1" t="str">
        <f>$B2</f>
        <v>SLY</v>
      </c>
      <c r="AG2" s="1" t="str">
        <f>$B2</f>
        <v>SLY</v>
      </c>
      <c r="AH2" s="9" t="s">
        <v>18</v>
      </c>
      <c r="AI2" s="9" t="s">
        <v>18</v>
      </c>
      <c r="AJ2" s="2" t="str">
        <f>$F2</f>
        <v>MSFP</v>
      </c>
      <c r="AK2" s="2" t="str">
        <f>$F2</f>
        <v>MSFP</v>
      </c>
      <c r="AL2" s="1" t="str">
        <f>$B2</f>
        <v>SLY</v>
      </c>
      <c r="AM2" s="1" t="str">
        <f>$B2</f>
        <v>SLY</v>
      </c>
      <c r="AN2" s="9" t="s">
        <v>18</v>
      </c>
    </row>
    <row r="3" spans="1:40" x14ac:dyDescent="0.25">
      <c r="A3" t="s">
        <v>3</v>
      </c>
      <c r="B3" t="s">
        <v>11</v>
      </c>
      <c r="C3">
        <v>2.06</v>
      </c>
      <c r="E3" t="s">
        <v>3</v>
      </c>
      <c r="F3" t="s">
        <v>14</v>
      </c>
      <c r="G3">
        <v>1.71</v>
      </c>
      <c r="I3" s="1" t="str">
        <f>$B3</f>
        <v>ME</v>
      </c>
      <c r="J3" s="1" t="str">
        <f>$B3</f>
        <v>ME</v>
      </c>
      <c r="K3" s="9" t="s">
        <v>18</v>
      </c>
      <c r="L3" s="1" t="str">
        <f>$B3</f>
        <v>ME</v>
      </c>
      <c r="M3" s="9" t="s">
        <v>18</v>
      </c>
      <c r="N3" s="1" t="str">
        <f>$B3</f>
        <v>ME</v>
      </c>
      <c r="O3" s="2" t="str">
        <f>$F3</f>
        <v>GW</v>
      </c>
      <c r="P3" s="9" t="s">
        <v>18</v>
      </c>
      <c r="Q3" s="2" t="str">
        <f>$F3</f>
        <v>GW</v>
      </c>
      <c r="R3" s="9" t="s">
        <v>18</v>
      </c>
      <c r="S3" s="2" t="str">
        <f>$F3</f>
        <v>GW</v>
      </c>
      <c r="T3" s="2" t="str">
        <f>$F3</f>
        <v>GW</v>
      </c>
      <c r="U3" s="1" t="str">
        <f>$B3</f>
        <v>ME</v>
      </c>
      <c r="V3" s="1" t="str">
        <f>$B3</f>
        <v>ME</v>
      </c>
      <c r="W3" s="1" t="str">
        <f>$B3</f>
        <v>ME</v>
      </c>
      <c r="X3" s="2" t="str">
        <f>$F3</f>
        <v>GW</v>
      </c>
      <c r="Y3" s="1" t="str">
        <f>$B3</f>
        <v>ME</v>
      </c>
      <c r="Z3" s="2" t="str">
        <f>$F3</f>
        <v>GW</v>
      </c>
      <c r="AA3" s="1" t="str">
        <f>$B3</f>
        <v>ME</v>
      </c>
      <c r="AB3" s="2" t="str">
        <f>$F3</f>
        <v>GW</v>
      </c>
      <c r="AC3" s="1" t="str">
        <f>$B3</f>
        <v>ME</v>
      </c>
      <c r="AD3" s="9" t="s">
        <v>18</v>
      </c>
      <c r="AE3" s="2" t="str">
        <f>$F3</f>
        <v>GW</v>
      </c>
      <c r="AF3" s="1" t="str">
        <f>$B3</f>
        <v>ME</v>
      </c>
      <c r="AG3" s="9" t="s">
        <v>18</v>
      </c>
      <c r="AH3" s="1" t="str">
        <f>$B3</f>
        <v>ME</v>
      </c>
      <c r="AI3" s="2" t="str">
        <f>$F3</f>
        <v>GW</v>
      </c>
      <c r="AJ3" s="9" t="s">
        <v>18</v>
      </c>
      <c r="AK3" s="2" t="str">
        <f>$F3</f>
        <v>GW</v>
      </c>
      <c r="AL3" s="9" t="s">
        <v>18</v>
      </c>
      <c r="AM3" s="2" t="str">
        <f>$F3</f>
        <v>GW</v>
      </c>
      <c r="AN3" s="2" t="str">
        <f>$F3</f>
        <v>GW</v>
      </c>
    </row>
    <row r="4" spans="1:40" x14ac:dyDescent="0.25">
      <c r="A4" t="s">
        <v>4</v>
      </c>
      <c r="B4" t="s">
        <v>12</v>
      </c>
      <c r="C4">
        <v>1.72</v>
      </c>
      <c r="E4" t="s">
        <v>4</v>
      </c>
      <c r="F4" t="s">
        <v>13</v>
      </c>
      <c r="G4">
        <v>2.0299999999999998</v>
      </c>
      <c r="I4" s="2" t="str">
        <f>$F4</f>
        <v>LDLC</v>
      </c>
      <c r="J4" s="9" t="s">
        <v>18</v>
      </c>
      <c r="K4" s="2" t="str">
        <f>$F4</f>
        <v>LDLC</v>
      </c>
      <c r="L4" s="9" t="s">
        <v>18</v>
      </c>
      <c r="M4" s="2" t="str">
        <f>$F4</f>
        <v>LDLC</v>
      </c>
      <c r="N4" s="1" t="str">
        <f>$B4</f>
        <v>VITB</v>
      </c>
      <c r="O4" s="2" t="str">
        <f>$F4</f>
        <v>LDLC</v>
      </c>
      <c r="P4" s="1" t="str">
        <f>$B4</f>
        <v>VITB</v>
      </c>
      <c r="Q4" s="9" t="s">
        <v>18</v>
      </c>
      <c r="R4" s="1" t="str">
        <f>$B4</f>
        <v>VITB</v>
      </c>
      <c r="S4" s="9" t="s">
        <v>18</v>
      </c>
      <c r="T4" s="1" t="str">
        <f>$B4</f>
        <v>VITB</v>
      </c>
      <c r="U4" s="2" t="str">
        <f>$F4</f>
        <v>LDLC</v>
      </c>
      <c r="V4" s="2" t="str">
        <f>$F4</f>
        <v>LDLC</v>
      </c>
      <c r="W4" s="1" t="str">
        <f>$B4</f>
        <v>VITB</v>
      </c>
      <c r="X4" s="2" t="str">
        <f>$F4</f>
        <v>LDLC</v>
      </c>
      <c r="Y4" s="1" t="str">
        <f>$B4</f>
        <v>VITB</v>
      </c>
      <c r="Z4" s="2" t="str">
        <f>$F4</f>
        <v>LDLC</v>
      </c>
      <c r="AA4" s="2" t="str">
        <f>$F4</f>
        <v>LDLC</v>
      </c>
      <c r="AB4" s="1" t="str">
        <f>$B4</f>
        <v>VITB</v>
      </c>
      <c r="AC4" s="9" t="s">
        <v>18</v>
      </c>
      <c r="AD4" s="2" t="str">
        <f>$F4</f>
        <v>LDLC</v>
      </c>
      <c r="AE4" s="1" t="str">
        <f>$B4</f>
        <v>VITB</v>
      </c>
      <c r="AF4" s="9" t="s">
        <v>18</v>
      </c>
      <c r="AG4" s="2" t="str">
        <f>$F4</f>
        <v>LDLC</v>
      </c>
      <c r="AH4" s="1" t="str">
        <f>$B4</f>
        <v>VITB</v>
      </c>
      <c r="AI4" s="2" t="str">
        <f>$F4</f>
        <v>LDLC</v>
      </c>
      <c r="AJ4" s="1" t="str">
        <f>$B4</f>
        <v>VITB</v>
      </c>
      <c r="AK4" s="9" t="s">
        <v>18</v>
      </c>
      <c r="AL4" s="1" t="str">
        <f>$B4</f>
        <v>VITB</v>
      </c>
      <c r="AM4" s="9" t="s">
        <v>18</v>
      </c>
      <c r="AN4" s="1" t="str">
        <f>$B4</f>
        <v>VITB</v>
      </c>
    </row>
    <row r="5" spans="1:40" ht="15.75" thickBot="1" x14ac:dyDescent="0.3">
      <c r="I5" s="11">
        <f>$C1*$C3*$G4</f>
        <v>12.001766</v>
      </c>
      <c r="J5" s="11">
        <f>$C1*$G2*$C3</f>
        <v>11.351424</v>
      </c>
      <c r="K5" s="11">
        <f>$C1*$G2*$G4</f>
        <v>11.186111999999998</v>
      </c>
      <c r="L5" s="11">
        <f>$C1*$C2*$C3</f>
        <v>10.582838000000002</v>
      </c>
      <c r="M5" s="11">
        <f>$C1*$C2*$G4</f>
        <v>10.428719000000001</v>
      </c>
      <c r="N5" s="11">
        <f>$C1*$C3*$C4</f>
        <v>10.168984</v>
      </c>
      <c r="O5" s="11">
        <f>$C1*$G3*$G4</f>
        <v>9.962631</v>
      </c>
      <c r="P5" s="11">
        <f>$C1*$G2*$C4</f>
        <v>9.4778880000000001</v>
      </c>
      <c r="Q5" s="11">
        <f>$C1*$G2*$G3</f>
        <v>9.422784</v>
      </c>
      <c r="R5" s="11">
        <f>$C1*$C2*$C4</f>
        <v>8.8361560000000008</v>
      </c>
      <c r="S5" s="11">
        <f>$C1*$C2*$G3</f>
        <v>8.7847830000000009</v>
      </c>
      <c r="T5" s="11">
        <f>$C1*$G3*$C4</f>
        <v>8.4412439999999993</v>
      </c>
      <c r="U5" s="11">
        <f>$G2*$C3*$G4</f>
        <v>8.0290559999999989</v>
      </c>
      <c r="V5" s="11">
        <f>$C2*$C3*$G4</f>
        <v>7.4854219999999998</v>
      </c>
      <c r="W5" s="11">
        <f>$G2*$C3*$C4</f>
        <v>6.8029440000000001</v>
      </c>
      <c r="X5" s="11">
        <f>$G2*$G3*$G4</f>
        <v>6.6648959999999988</v>
      </c>
      <c r="Y5" s="11">
        <f>$C2*$C3*$C4</f>
        <v>6.3423280000000002</v>
      </c>
      <c r="Z5" s="11">
        <f>$C2*$G3*$G4</f>
        <v>6.2136269999999998</v>
      </c>
      <c r="AA5" s="11">
        <f>$G1*$C3*$G4</f>
        <v>5.8127019999999989</v>
      </c>
      <c r="AB5" s="11">
        <f>$G2*$G3*$C4</f>
        <v>5.6471039999999997</v>
      </c>
      <c r="AC5" s="11">
        <f>$G1*$G2*$C3</f>
        <v>5.4977279999999995</v>
      </c>
      <c r="AD5" s="11">
        <f>$G1*$G2*$G4</f>
        <v>5.4176639999999985</v>
      </c>
      <c r="AE5" s="11">
        <f>$C2*$G3*$C4</f>
        <v>5.264748</v>
      </c>
      <c r="AF5" s="11">
        <f>$G1*$C2*$C3</f>
        <v>5.1254859999999995</v>
      </c>
      <c r="AG5" s="11">
        <f>$G1*$C2*$G4</f>
        <v>5.0508429999999986</v>
      </c>
      <c r="AH5" s="11">
        <f>$G1*$C3*$C4</f>
        <v>4.9250479999999994</v>
      </c>
      <c r="AI5" s="11">
        <f>$G1*$G3*$G4</f>
        <v>4.8251069999999983</v>
      </c>
      <c r="AJ5" s="11">
        <f>$G1*$G2*$C4</f>
        <v>4.5903359999999989</v>
      </c>
      <c r="AK5" s="11">
        <f>$G1*$G2*$G3</f>
        <v>4.5636479999999988</v>
      </c>
      <c r="AL5" s="11">
        <f>$G1*$C2*$C4</f>
        <v>4.2795319999999997</v>
      </c>
      <c r="AM5" s="11">
        <f>$G1*$C2*$G3</f>
        <v>4.2546509999999991</v>
      </c>
      <c r="AN5" s="11">
        <f>$G1*$G3*$C4</f>
        <v>4.0882679999999993</v>
      </c>
    </row>
    <row r="6" spans="1:40" x14ac:dyDescent="0.25"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</row>
    <row r="7" spans="1:40" x14ac:dyDescent="0.25">
      <c r="I7" s="8">
        <f>I5*I6</f>
        <v>0</v>
      </c>
      <c r="J7" s="8">
        <f>J5*J6</f>
        <v>0</v>
      </c>
      <c r="K7" s="8">
        <f>K5*K6</f>
        <v>0</v>
      </c>
      <c r="L7" s="8">
        <f>L5*L6</f>
        <v>0</v>
      </c>
      <c r="M7" s="8">
        <f>M5*M6</f>
        <v>0</v>
      </c>
      <c r="N7" s="8">
        <f>N5*N6</f>
        <v>0</v>
      </c>
      <c r="O7" s="8">
        <f>O5*O6</f>
        <v>0</v>
      </c>
      <c r="P7" s="8">
        <f>P5*P6</f>
        <v>0</v>
      </c>
      <c r="Q7" s="8">
        <f>Q5*Q6</f>
        <v>0</v>
      </c>
      <c r="R7" s="8">
        <f>R5*R6</f>
        <v>0</v>
      </c>
      <c r="S7" s="8">
        <f>S5*S6</f>
        <v>0</v>
      </c>
      <c r="T7" s="8">
        <f>T5*T6</f>
        <v>0</v>
      </c>
      <c r="U7" s="8">
        <f>U5*U6</f>
        <v>0</v>
      </c>
      <c r="V7" s="8">
        <f>V5*V6</f>
        <v>0</v>
      </c>
      <c r="W7" s="8">
        <f>W5*W6</f>
        <v>0</v>
      </c>
      <c r="X7" s="8">
        <f>X5*X6</f>
        <v>0</v>
      </c>
      <c r="Y7" s="8">
        <f>Y5*Y6</f>
        <v>0</v>
      </c>
      <c r="Z7" s="8">
        <f>Z5*Z6</f>
        <v>0</v>
      </c>
      <c r="AA7" s="8">
        <f>AA5*AA6</f>
        <v>0</v>
      </c>
      <c r="AB7" s="8">
        <f>AB5*AB6</f>
        <v>0</v>
      </c>
      <c r="AC7" s="8">
        <f>AC5*AC6</f>
        <v>0</v>
      </c>
      <c r="AD7" s="8">
        <f>AD5*AD6</f>
        <v>0</v>
      </c>
      <c r="AE7" s="8">
        <f>AE5*AE6</f>
        <v>0</v>
      </c>
      <c r="AF7" s="8">
        <f>AF5*AF6</f>
        <v>0</v>
      </c>
      <c r="AG7" s="8">
        <f>AG5*AG6</f>
        <v>0</v>
      </c>
      <c r="AH7" s="8">
        <f>AH5*AH6</f>
        <v>0</v>
      </c>
      <c r="AI7" s="8">
        <f>AI5*AI6</f>
        <v>0</v>
      </c>
      <c r="AJ7" s="8">
        <f>AJ5*AJ6</f>
        <v>0</v>
      </c>
      <c r="AK7" s="8">
        <f>AK5*AK6</f>
        <v>0</v>
      </c>
      <c r="AL7" s="8">
        <f>AL5*AL6</f>
        <v>0</v>
      </c>
      <c r="AM7" s="8">
        <f>AM5*AM6</f>
        <v>0</v>
      </c>
      <c r="AN7" s="8">
        <f>AN5*AN6</f>
        <v>0</v>
      </c>
    </row>
    <row r="9" spans="1:40" x14ac:dyDescent="0.25">
      <c r="A9" t="s">
        <v>5</v>
      </c>
      <c r="B9">
        <f>SUM(I7:AN7)</f>
        <v>0</v>
      </c>
    </row>
    <row r="10" spans="1:40" x14ac:dyDescent="0.25">
      <c r="A10" t="s">
        <v>6</v>
      </c>
      <c r="B10">
        <f>SUM(I8:AN8)/32</f>
        <v>0</v>
      </c>
    </row>
    <row r="11" spans="1:40" x14ac:dyDescent="0.25">
      <c r="A11" t="s">
        <v>7</v>
      </c>
      <c r="B11" s="7">
        <f>B10-B9</f>
        <v>0</v>
      </c>
    </row>
  </sheetData>
  <sortState xmlns:xlrd2="http://schemas.microsoft.com/office/spreadsheetml/2017/richdata2" columnSort="1" ref="I1:AN7">
    <sortCondition descending="1" ref="I5:AN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iTrois">
                <anchor moveWithCells="1" sizeWithCells="1">
                  <from>
                    <xdr:col>3</xdr:col>
                    <xdr:colOff>342900</xdr:colOff>
                    <xdr:row>6</xdr:row>
                    <xdr:rowOff>123825</xdr:rowOff>
                  </from>
                  <to>
                    <xdr:col>6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2015-06-05T18:19:34Z</dcterms:created>
  <dcterms:modified xsi:type="dcterms:W3CDTF">2022-02-09T16:17:33Z</dcterms:modified>
</cp:coreProperties>
</file>